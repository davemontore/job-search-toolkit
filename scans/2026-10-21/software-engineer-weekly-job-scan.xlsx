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Pipeline" sheetId="2" state="visible" r:id="rId2"/>
    <sheet name="Scan Log" sheetId="3" state="visible" r:id="rId3"/>
    <sheet name="How to Use" sheetId="4" state="visible" r:id="rId4"/>
  </sheets>
  <definedNames>
    <definedName name="_xlnm._FilterDatabase" localSheetId="0" hidden="1">'Jobs'!$A$1:$AC$51</definedName>
  </definedNames>
  <calcPr calcId="124519" fullCalcOnLoad="1"/>
</workbook>
</file>

<file path=xl/styles.xml><?xml version="1.0" encoding="utf-8"?>
<styleSheet xmlns="http://schemas.openxmlformats.org/spreadsheetml/2006/main">
  <numFmts count="2">
    <numFmt numFmtId="164" formatCode="yyyy-mm-dd"/>
    <numFmt numFmtId="165" formatCode="m/d/yyyy"/>
  </numFmts>
  <fonts count="7">
    <font>
      <name val="Calibri"/>
      <family val="2"/>
      <color theme="1"/>
      <sz val="11"/>
      <scheme val="minor"/>
    </font>
    <font>
      <b val="1"/>
      <color rgb="00FFFFFF"/>
    </font>
    <font>
      <color rgb="000563C1"/>
      <u val="single"/>
    </font>
    <font>
      <b val="1"/>
    </font>
    <font>
      <b val="1"/>
      <sz val="14"/>
    </font>
    <font>
      <sz val="11"/>
    </font>
    <font>
      <b val="1"/>
      <sz val="11"/>
    </font>
  </fonts>
  <fills count="3">
    <fill>
      <patternFill/>
    </fill>
    <fill>
      <patternFill patternType="gray125"/>
    </fill>
    <fill>
      <patternFill patternType="solid">
        <fgColor rgb="001F3864"/>
      </patternFill>
    </fill>
  </fills>
  <borders count="2">
    <border>
      <left/>
      <right/>
      <top/>
      <bottom/>
      <diagonal/>
    </border>
    <border>
      <bottom style="thin">
        <color rgb="00D9D9D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165" fontId="0" fillId="0" borderId="1" applyAlignment="1" pivotButton="0" quotePrefix="0" xfId="0">
      <alignment vertical="top" wrapText="1"/>
    </xf>
    <xf numFmtId="0" fontId="4" fillId="0" borderId="0" pivotButton="0" quotePrefix="0" xfId="0"/>
    <xf numFmtId="0" fontId="1" fillId="2" borderId="0" pivotButton="0" quotePrefix="0" xfId="0"/>
    <xf numFmtId="0" fontId="3" fillId="0" borderId="0" pivotButton="0" quotePrefix="0" xfId="0"/>
    <xf numFmtId="165" fontId="0"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7">
    <dxf>
      <fill>
        <patternFill patternType="solid">
          <fgColor rgb="00FFF2CC"/>
        </patternFill>
      </fill>
    </dxf>
    <dxf>
      <fill>
        <patternFill patternType="solid">
          <fgColor rgb="00DDEBF7"/>
        </patternFill>
      </fill>
    </dxf>
    <dxf>
      <fill>
        <patternFill patternType="solid">
          <fgColor rgb="00E2EFDA"/>
        </patternFill>
      </fill>
    </dxf>
    <dxf>
      <fill>
        <patternFill patternType="solid">
          <fgColor rgb="00C6EFCE"/>
        </patternFill>
      </fill>
    </dxf>
    <dxf>
      <fill>
        <patternFill patternType="solid">
          <fgColor rgb="00A9D08E"/>
        </patternFill>
      </fill>
    </dxf>
    <dxf>
      <fill>
        <patternFill patternType="solid">
          <fgColor rgb="00F2F2F2"/>
        </patternFill>
      </fill>
    </dxf>
    <dxf>
      <font>
        <b val="1"/>
        <color rgb="009C0006"/>
      </font>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reers-appliedsystems.icims.com/jobs/7318/associate-software-engineer---software-engineer/job" TargetMode="External" Id="rId1" /><Relationship Type="http://schemas.openxmlformats.org/officeDocument/2006/relationships/hyperlink" Target="https://job-boards.greenhouse.io/defenseunicorns/jobs/5101183007" TargetMode="External" Id="rId2" /><Relationship Type="http://schemas.openxmlformats.org/officeDocument/2006/relationships/hyperlink" Target="https://builtin.com/job/software-development-engineer-ii-c-and-azure-cloud/10785642" TargetMode="External" Id="rId3" /><Relationship Type="http://schemas.openxmlformats.org/officeDocument/2006/relationships/hyperlink" Target="https://jobs.lever.co/pingwind/ec3e48af-4640-416e-b9bf-2a1fbebf6dd3" TargetMode="External" Id="rId4" /><Relationship Type="http://schemas.openxmlformats.org/officeDocument/2006/relationships/hyperlink" Target="https://job-boards.greenhouse.io/striveworks/jobs/8002825003" TargetMode="External" Id="rId5" /><Relationship Type="http://schemas.openxmlformats.org/officeDocument/2006/relationships/hyperlink" Target="https://builtin.com/job/software-development-engineer-ii/11319946" TargetMode="External" Id="rId6" /><Relationship Type="http://schemas.openxmlformats.org/officeDocument/2006/relationships/hyperlink" Target="https://visa.wd5.myworkdayjobs.com/en-US/Visa/job/US---Austin-TX/Software-Engineer_REF088720W" TargetMode="External" Id="rId7" /><Relationship Type="http://schemas.openxmlformats.org/officeDocument/2006/relationships/hyperlink" Target="https://careers.heb.com/jobs/238494" TargetMode="External" Id="rId8" /><Relationship Type="http://schemas.openxmlformats.org/officeDocument/2006/relationships/hyperlink" Target="https://usaa.wd1.myworkdayjobs.com/USAAJOBSWD/job/San-Antonio-Home-Office-I/Intermediate-Software-Engineer---UI-API-Application-Development_R0121106" TargetMode="External" Id="rId9" /><Relationship Type="http://schemas.openxmlformats.org/officeDocument/2006/relationships/hyperlink" Target="https://job-boards.greenhouse.io/reddit/jobs/8139781" TargetMode="External" Id="rId10" /><Relationship Type="http://schemas.openxmlformats.org/officeDocument/2006/relationships/hyperlink" Target="https://www.dice.com/job-detail/5c1dfdc3-1633-49cd-b008-aa98b9d7d370" TargetMode="External" Id="rId11" /><Relationship Type="http://schemas.openxmlformats.org/officeDocument/2006/relationships/hyperlink" Target="https://globalhr.wd5.myworkdayjobs.com/REC_RTX_Ext_Gateway/job/US-TX-MCKINNEY-513WC--2501-W-University-Dr--WING-C-BLDG/Platform-Software-Engineer-II---Linux--Onsite-_01883674" TargetMode="External" Id="rId12" /><Relationship Type="http://schemas.openxmlformats.org/officeDocument/2006/relationships/hyperlink" Target="https://job-boards.greenhouse.io/canonical/jobs/8130859" TargetMode="External" Id="rId13" /><Relationship Type="http://schemas.openxmlformats.org/officeDocument/2006/relationships/hyperlink" Target="https://job-boards.greenhouse.io/embed/job_app?for=coinbase&amp;token=8003605" TargetMode="External" Id="rId14" /><Relationship Type="http://schemas.openxmlformats.org/officeDocument/2006/relationships/hyperlink" Target="https://job-boards.greenhouse.io/reddit/jobs/8214910" TargetMode="External" Id="rId15" /><Relationship Type="http://schemas.openxmlformats.org/officeDocument/2006/relationships/hyperlink" Target="https://jobs.lever.co/topazlabs/f1fb0504-e875-4b92-9d54-d5299ea6d245" TargetMode="External" Id="rId16" /><Relationship Type="http://schemas.openxmlformats.org/officeDocument/2006/relationships/hyperlink" Target="https://3m.wd1.myworkdayjobs.com/en-US/Search/job/US-Texas-Austin/Full-Stack---IOT-Developer_R01168177" TargetMode="External" Id="rId17" /><Relationship Type="http://schemas.openxmlformats.org/officeDocument/2006/relationships/hyperlink" Target="https://cat.wd5.myworkdayjobs.com/CaterpillarCareers/job/Chicago-Illinois/Software-Engineer_R0000392873" TargetMode="External" Id="rId18" /><Relationship Type="http://schemas.openxmlformats.org/officeDocument/2006/relationships/hyperlink" Target="https://jpmc.fa.oraclecloud.com/hcmUI/CandidateExperience/en/sites/CX_1001/job/210794281" TargetMode="External" Id="rId19" /><Relationship Type="http://schemas.openxmlformats.org/officeDocument/2006/relationships/hyperlink" Target="https://ngc.wd1.myworkdayjobs.com/Northrop_Grumman_External_Site/job/United-States-Maryland-Annapolis-Junction/Cyber-Software-Engineer--TG-_R10254297" TargetMode="External" Id="rId20" /><Relationship Type="http://schemas.openxmlformats.org/officeDocument/2006/relationships/hyperlink" Target="https://jobs.ashbyhq.com/base-power/23bc4e94-d63c-4933-926b-edcb69138410" TargetMode="External" Id="rId21" /><Relationship Type="http://schemas.openxmlformats.org/officeDocument/2006/relationships/hyperlink" Target="https://job-boards.greenhouse.io/canonical/jobs/6707669" TargetMode="External" Id="rId22" /><Relationship Type="http://schemas.openxmlformats.org/officeDocument/2006/relationships/hyperlink" Target="https://job-boards.greenhouse.io/affirm/jobs/8017340003" TargetMode="External" Id="rId23" /><Relationship Type="http://schemas.openxmlformats.org/officeDocument/2006/relationships/hyperlink" Target="https://job-boards.greenhouse.io/canonical/jobs/8249005" TargetMode="External" Id="rId24" /><Relationship Type="http://schemas.openxmlformats.org/officeDocument/2006/relationships/hyperlink" Target="https://sailpoint.wd1.myworkdayjobs.com/en-US/SailPoint/job/Remote-Texas-USA/Associate-Security-Software-Engineer_R013786" TargetMode="External" Id="rId25" /><Relationship Type="http://schemas.openxmlformats.org/officeDocument/2006/relationships/hyperlink" Target="https://jobs.statefarm.com/main/jobs/43198" TargetMode="External" Id="rId26" /><Relationship Type="http://schemas.openxmlformats.org/officeDocument/2006/relationships/hyperlink" Target="https://jobs.ashbyhq.com/runpod/b64a3935-931a-4b7f-9899-7ebe152164c5" TargetMode="External" Id="rId27" /><Relationship Type="http://schemas.openxmlformats.org/officeDocument/2006/relationships/hyperlink" Target="https://job-boards.greenhouse.io/clear/jobs/8241829" TargetMode="External" Id="rId28" /><Relationship Type="http://schemas.openxmlformats.org/officeDocument/2006/relationships/hyperlink" Target="https://frostbank.wd5.myworkdayjobs.com/External/job/San-Antonio-TX---One-Frost/Software-Engineer-II_R261937" TargetMode="External" Id="rId29" /><Relationship Type="http://schemas.openxmlformats.org/officeDocument/2006/relationships/hyperlink" Target="https://builtin.com/job/net-software-developer/11772308" TargetMode="External" Id="rId30" /><Relationship Type="http://schemas.openxmlformats.org/officeDocument/2006/relationships/hyperlink" Target="https://visa.wd5.myworkdayjobs.com/en-US/Visa/job/US---Austin-TX/SW-Engineer--Developer-Systems-Reliability-Engineering_REF084823W-1" TargetMode="External" Id="rId31" /><Relationship Type="http://schemas.openxmlformats.org/officeDocument/2006/relationships/hyperlink" Target="https://bmo.wd3.myworkdayjobs.com/External/job/Irving-TX-USA/Software-Developer---Early-Career---15_R260021450" TargetMode="External" Id="rId32" /><Relationship Type="http://schemas.openxmlformats.org/officeDocument/2006/relationships/hyperlink" Target="https://citi.wd5.myworkdayjobs.com/2/job/Irving-Texas-United-States/Python-Engineer_26997965-1" TargetMode="External" Id="rId33" /><Relationship Type="http://schemas.openxmlformats.org/officeDocument/2006/relationships/hyperlink" Target="https://swbc.wd1.myworkdayjobs.com/swbccareers/job/San-Antonio-TX/Application-Developer_R0014824-1" TargetMode="External" Id="rId34" /><Relationship Type="http://schemas.openxmlformats.org/officeDocument/2006/relationships/hyperlink" Target="https://visa.wd5.myworkdayjobs.com/en-US/Visa/job/US---Austin-TX/Software-Engineer--Operations-and-Infrastructure_REF082600W" TargetMode="External" Id="rId35" /><Relationship Type="http://schemas.openxmlformats.org/officeDocument/2006/relationships/hyperlink" Target="https://usaa.wd1.myworkdayjobs.com/USAAJOBSWD/job/San-Antonio-Home-Office-I/Mid-Level-Software-Engineer---UI-API-Application-Development_R0121105" TargetMode="External" Id="rId36" /><Relationship Type="http://schemas.openxmlformats.org/officeDocument/2006/relationships/hyperlink" Target="https://job-boards.greenhouse.io/affirm/jobs/8003016003" TargetMode="External" Id="rId37" /><Relationship Type="http://schemas.openxmlformats.org/officeDocument/2006/relationships/hyperlink" Target="https://jobs.ashbyhq.com/allen-control-systems/87abef03-ff94-4a7f-a944-5fad20f23daa" TargetMode="External" Id="rId38" /><Relationship Type="http://schemas.openxmlformats.org/officeDocument/2006/relationships/hyperlink" Target="https://ghr.wd1.myworkdayjobs.com/Lateral-US/job/Plano/Software-Engineer-III--AI-ML-_26025303" TargetMode="External" Id="rId39" /><Relationship Type="http://schemas.openxmlformats.org/officeDocument/2006/relationships/hyperlink" Target="https://job-boards.greenhouse.io/canonical/jobs/3257589" TargetMode="External" Id="rId40" /><Relationship Type="http://schemas.openxmlformats.org/officeDocument/2006/relationships/hyperlink" Target="https://job-boards.greenhouse.io/twilio/jobs/8026211" TargetMode="External" Id="rId41" /><Relationship Type="http://schemas.openxmlformats.org/officeDocument/2006/relationships/hyperlink" Target="https://job-boards.greenhouse.io/twilio/jobs/8026207" TargetMode="External" Id="rId42" /><Relationship Type="http://schemas.openxmlformats.org/officeDocument/2006/relationships/hyperlink" Target="https://leidos.wd5.myworkdayjobs.com/External/job/Chantilly-VA/Python-Developer_R-00190854" TargetMode="External" Id="rId43" /><Relationship Type="http://schemas.openxmlformats.org/officeDocument/2006/relationships/hyperlink" Target="https://globalhr.wd5.myworkdayjobs.com/REC_RTX_Ext_Gateway/job/US-TX-PLANO-465--465-Independence-Pkwy--INDEPENDENCE/Software-Engineer-II--Algorithms--Onsite-_01855854" TargetMode="External" Id="rId44" /><Relationship Type="http://schemas.openxmlformats.org/officeDocument/2006/relationships/hyperlink" Target="https://globalhr.wd5.myworkdayjobs.com/REC_RTX_Ext_Gateway/job/US-TX-MCKINNEY-513PW--2501-W-University-Dr--PW-BLDG/Software-Security-Engineer-II_01880604-1" TargetMode="External" Id="rId45" /><Relationship Type="http://schemas.openxmlformats.org/officeDocument/2006/relationships/hyperlink" Target="https://silabs.wd1.myworkdayjobs.com/en-US/SiliconlabsCareers/job/Austin/Software-Engineer-I_21011-1" TargetMode="External" Id="rId46" /><Relationship Type="http://schemas.openxmlformats.org/officeDocument/2006/relationships/hyperlink" Target="https://iheartmedia.wd5.myworkdayjobs.com/External_iHM/job/Austin-TX-5001-Plaza-On-the-Lake-Suite-105-78746/Full-Stack-Software-Developer_Req39448-2" TargetMode="External" Id="rId47" /><Relationship Type="http://schemas.openxmlformats.org/officeDocument/2006/relationships/hyperlink" Target="https://www.builtinaustin.com/job/junior-software-engineer/11124050" TargetMode="External" Id="rId48" /><Relationship Type="http://schemas.openxmlformats.org/officeDocument/2006/relationships/hyperlink" Target="https://jobs.ashbyhq.com/ontic/d50b6bea-876f-43fc-afb9-716efe9eca02" TargetMode="External" Id="rId49" /><Relationship Type="http://schemas.openxmlformats.org/officeDocument/2006/relationships/hyperlink" Target="https://usbank.wd1.myworkdayjobs.com/US_Bank_Careers/job/Hopkins-MN/Software-Engineer-1---Full-stack--Generative-AI--Cloud_2026-0032031" TargetMode="External" Id="rId50" /></Relationships>
</file>

<file path=xl/worksheets/sheet1.xml><?xml version="1.0" encoding="utf-8"?>
<worksheet xmlns="http://schemas.openxmlformats.org/spreadsheetml/2006/main">
  <sheetPr>
    <outlinePr summaryBelow="1" summaryRight="1"/>
    <pageSetUpPr/>
  </sheetPr>
  <dimension ref="A1:AC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6" customWidth="1" min="3" max="3"/>
    <col width="34" customWidth="1" min="4" max="4"/>
    <col width="24" customWidth="1" min="5" max="5"/>
    <col width="16" customWidth="1" min="6" max="6"/>
    <col width="12" customWidth="1" min="7" max="7"/>
    <col width="15" customWidth="1" min="8" max="8"/>
    <col width="30" customWidth="1" min="9" max="9"/>
    <col width="13" customWidth="1" min="10" max="10"/>
    <col width="36" customWidth="1" min="11" max="11"/>
    <col width="22" customWidth="1" min="12" max="12"/>
    <col width="6" customWidth="1" min="13" max="13"/>
    <col width="8" customWidth="1" min="14" max="14"/>
    <col width="6" customWidth="1" min="15" max="15"/>
    <col width="30" customWidth="1" min="16" max="16"/>
    <col width="22" customWidth="1" min="17" max="17"/>
    <col width="18" customWidth="1" min="18" max="18"/>
    <col width="14" customWidth="1" min="19" max="19"/>
    <col width="60" customWidth="1" min="20" max="20"/>
    <col width="16" customWidth="1" min="21" max="21"/>
    <col width="12" customWidth="1" min="22" max="22"/>
    <col width="11" customWidth="1" min="23" max="23"/>
    <col width="12" customWidth="1" min="24" max="24"/>
    <col width="16" customWidth="1" min="25" max="25"/>
    <col width="22" customWidth="1" min="26" max="26"/>
    <col width="26" customWidth="1" min="27" max="27"/>
    <col width="13" customWidth="1" min="28" max="28"/>
    <col width="30" customWidth="1" min="29" max="29"/>
  </cols>
  <sheetData>
    <row r="1" ht="32" customHeight="1">
      <c r="A1" s="1" t="inlineStr">
        <is>
          <t>Rank</t>
        </is>
      </c>
      <c r="B1" s="1" t="inlineStr">
        <is>
          <t>Fit Score</t>
        </is>
      </c>
      <c r="C1" s="1" t="inlineStr">
        <is>
          <t>Status</t>
        </is>
      </c>
      <c r="D1" s="1" t="inlineStr">
        <is>
          <t>Job Title</t>
        </is>
      </c>
      <c r="E1" s="1" t="inlineStr">
        <is>
          <t>Company</t>
        </is>
      </c>
      <c r="F1" s="1" t="inlineStr">
        <is>
          <t>City</t>
        </is>
      </c>
      <c r="G1" s="1" t="inlineStr">
        <is>
          <t>Arrangement</t>
        </is>
      </c>
      <c r="H1" s="1" t="inlineStr">
        <is>
          <t>Employment Type</t>
        </is>
      </c>
      <c r="I1" s="1" t="inlineStr">
        <is>
          <t>Experience Required</t>
        </is>
      </c>
      <c r="J1" s="1" t="inlineStr">
        <is>
          <t>Experience Fit</t>
        </is>
      </c>
      <c r="K1" s="1" t="inlineStr">
        <is>
          <t>Degree Requirement</t>
        </is>
      </c>
      <c r="L1" s="1" t="inlineStr">
        <is>
          <t>Degree Level</t>
        </is>
      </c>
      <c r="M1" s="1" t="inlineStr">
        <is>
          <t>C#</t>
        </is>
      </c>
      <c r="N1" s="1" t="inlineStr">
        <is>
          <t>Python</t>
        </is>
      </c>
      <c r="O1" s="1" t="inlineStr">
        <is>
          <t>Go</t>
        </is>
      </c>
      <c r="P1" s="1" t="inlineStr">
        <is>
          <t>Tech Stack</t>
        </is>
      </c>
      <c r="Q1" s="1" t="inlineStr">
        <is>
          <t>Salary</t>
        </is>
      </c>
      <c r="R1" s="1" t="inlineStr">
        <is>
          <t>Clearance</t>
        </is>
      </c>
      <c r="S1" s="1" t="inlineStr">
        <is>
          <t>Posting Link</t>
        </is>
      </c>
      <c r="T1" s="1" t="inlineStr">
        <is>
          <t>What the Job Is</t>
        </is>
      </c>
      <c r="U1" s="1" t="inlineStr">
        <is>
          <t>Source</t>
        </is>
      </c>
      <c r="V1" s="1" t="inlineStr">
        <is>
          <t>Date Posted</t>
        </is>
      </c>
      <c r="W1" s="1" t="inlineStr">
        <is>
          <t>Scan Date</t>
        </is>
      </c>
      <c r="X1" s="1" t="inlineStr">
        <is>
          <t>Date Applied</t>
        </is>
      </c>
      <c r="Y1" s="1" t="inlineStr">
        <is>
          <t>Resume Version</t>
        </is>
      </c>
      <c r="Z1" s="1" t="inlineStr">
        <is>
          <t>Contact</t>
        </is>
      </c>
      <c r="AA1" s="1" t="inlineStr">
        <is>
          <t>Next Step</t>
        </is>
      </c>
      <c r="AB1" s="1" t="inlineStr">
        <is>
          <t>Follow-up Date</t>
        </is>
      </c>
      <c r="AC1" s="1" t="inlineStr">
        <is>
          <t>Notes</t>
        </is>
      </c>
    </row>
    <row r="2">
      <c r="A2" s="2" t="n">
        <v>1</v>
      </c>
      <c r="B2" s="2" t="n">
        <v>87</v>
      </c>
      <c r="C2" s="3" t="inlineStr">
        <is>
          <t>New</t>
        </is>
      </c>
      <c r="D2" s="4" t="inlineStr">
        <is>
          <t>Associate Software Engineer / Software Engineer</t>
        </is>
      </c>
      <c r="E2" s="3" t="inlineStr">
        <is>
          <t>Applied Systems</t>
        </is>
      </c>
      <c r="F2" s="3" t="inlineStr">
        <is>
          <t>Dallas, TX</t>
        </is>
      </c>
      <c r="G2" s="3" t="inlineStr">
        <is>
          <t>Hybrid</t>
        </is>
      </c>
      <c r="H2" s="3" t="inlineStr">
        <is>
          <t>Full-time</t>
        </is>
      </c>
      <c r="I2" s="3" t="inlineStr">
        <is>
          <t>Not specified (foundational knowledge of software engineering)</t>
        </is>
      </c>
      <c r="J2" s="3" t="inlineStr">
        <is>
          <t>Not specified</t>
        </is>
      </c>
      <c r="K2" s="3" t="inlineStr">
        <is>
          <t>Degree in Computer Science, related fields, or equivalent combination of education and experience</t>
        </is>
      </c>
      <c r="L2" s="3" t="inlineStr">
        <is>
          <t>Degree or equivalent experience</t>
        </is>
      </c>
      <c r="M2" s="2" t="inlineStr">
        <is>
          <t>Yes</t>
        </is>
      </c>
      <c r="N2" s="2" t="inlineStr">
        <is>
          <t>Yes</t>
        </is>
      </c>
      <c r="O2" s="2" t="inlineStr">
        <is>
          <t>Yes</t>
        </is>
      </c>
      <c r="P2" s="3" t="inlineStr">
        <is>
          <t>Go, C#, Python, React, gRPC, SQL, REST APIs, Google Cloud, Kubernetes, Terraform</t>
        </is>
      </c>
      <c r="Q2" s="3" t="inlineStr">
        <is>
          <t>$60,000 - $125,000 targeted starting base (US)</t>
        </is>
      </c>
      <c r="R2" s="3" t="inlineStr">
        <is>
          <t>None</t>
        </is>
      </c>
      <c r="S2" s="5" t="inlineStr">
        <is>
          <t>Open posting</t>
        </is>
      </c>
      <c r="T2" s="3" t="inlineStr">
        <is>
          <t>Entry-level role on the Epic Engineering team focused on reducing technical debt and improving code quality under senior guidance. Listed for Dallas, Chicago or Toronto, hybrid or remote.</t>
        </is>
      </c>
      <c r="U2" s="3" t="inlineStr">
        <is>
          <t>iCIMS (company careers)</t>
        </is>
      </c>
      <c r="V2" s="3" t="inlineStr">
        <is>
          <t>Not shown</t>
        </is>
      </c>
      <c r="W2" s="6" t="n">
        <v>46316</v>
      </c>
      <c r="X2" s="6" t="n"/>
      <c r="Y2" s="3" t="n"/>
      <c r="Z2" s="3" t="n"/>
      <c r="AA2" s="3" t="n"/>
      <c r="AB2" s="6" t="n"/>
      <c r="AC2" s="3" t="n"/>
    </row>
    <row r="3">
      <c r="A3" s="2" t="n">
        <v>2</v>
      </c>
      <c r="B3" s="2" t="n">
        <v>85</v>
      </c>
      <c r="C3" s="3" t="inlineStr">
        <is>
          <t>New</t>
        </is>
      </c>
      <c r="D3" s="4" t="inlineStr">
        <is>
          <t>Software Engineer (FedD105)</t>
        </is>
      </c>
      <c r="E3" s="3" t="inlineStr">
        <is>
          <t>Defense Unicorns</t>
        </is>
      </c>
      <c r="F3" s="3" t="inlineStr">
        <is>
          <t>Remote</t>
        </is>
      </c>
      <c r="G3" s="3" t="inlineStr">
        <is>
          <t>Remote</t>
        </is>
      </c>
      <c r="H3" s="3" t="inlineStr">
        <is>
          <t>Not specified</t>
        </is>
      </c>
      <c r="I3" s="3" t="inlineStr">
        <is>
          <t>Preferred: 3+ years (mid) or 5+ years (senior) experience with software engineering</t>
        </is>
      </c>
      <c r="J3" s="3" t="inlineStr">
        <is>
          <t>In range</t>
        </is>
      </c>
      <c r="K3" s="3" t="inlineStr">
        <is>
          <t>Not specified</t>
        </is>
      </c>
      <c r="L3" s="3" t="inlineStr">
        <is>
          <t>Not specified</t>
        </is>
      </c>
      <c r="M3" s="2" t="inlineStr">
        <is>
          <t>Yes</t>
        </is>
      </c>
      <c r="N3" s="2" t="inlineStr">
        <is>
          <t>Yes</t>
        </is>
      </c>
      <c r="O3" s="2" t="inlineStr">
        <is>
          <t>Yes</t>
        </is>
      </c>
      <c r="P3" s="3" t="inlineStr">
        <is>
          <t>Go, TypeScript, Python, FastAPI, ASP.NET/C#, Kubernetes, RESTful services</t>
        </is>
      </c>
      <c r="Q3" s="3" t="inlineStr">
        <is>
          <t>$123,250 - $166,750 (Remote - USA)</t>
        </is>
      </c>
      <c r="R3" s="3" t="inlineStr">
        <is>
          <t>None stated; U.S. citizenship required, no dual citizenship</t>
        </is>
      </c>
      <c r="S3" s="5" t="inlineStr">
        <is>
          <t>Open posting</t>
        </is>
      </c>
      <c r="T3" s="3" t="inlineStr">
        <is>
          <t>Defense Unicorns builds secure, cloud-native software delivery tools for U.S. government missions. This engineer builds tooling and APIs with a focus on authorization, data governance, and policy enforcement.</t>
        </is>
      </c>
      <c r="U3" s="3" t="inlineStr">
        <is>
          <t>Greenhouse</t>
        </is>
      </c>
      <c r="V3" s="3" t="inlineStr">
        <is>
          <t>Not shown</t>
        </is>
      </c>
      <c r="W3" s="6" t="n">
        <v>46316</v>
      </c>
      <c r="X3" s="6" t="n"/>
      <c r="Y3" s="3" t="n"/>
      <c r="Z3" s="3" t="n"/>
      <c r="AA3" s="3" t="n"/>
      <c r="AB3" s="6" t="n"/>
      <c r="AC3" s="3" t="n"/>
    </row>
    <row r="4">
      <c r="A4" s="2" t="n">
        <v>3</v>
      </c>
      <c r="B4" s="2" t="n">
        <v>83</v>
      </c>
      <c r="C4" s="3" t="inlineStr">
        <is>
          <t>New</t>
        </is>
      </c>
      <c r="D4" s="4" t="inlineStr">
        <is>
          <t>Software Development Engineer II - C# and Azure Cloud</t>
        </is>
      </c>
      <c r="E4" s="3" t="inlineStr">
        <is>
          <t>GM Financial</t>
        </is>
      </c>
      <c r="F4" s="3" t="inlineStr">
        <is>
          <t>Arlington, TX (or Irving)</t>
        </is>
      </c>
      <c r="G4" s="3" t="inlineStr">
        <is>
          <t>Hybrid</t>
        </is>
      </c>
      <c r="H4" s="3" t="inlineStr">
        <is>
          <t>Full-time</t>
        </is>
      </c>
      <c r="I4" s="3" t="inlineStr">
        <is>
          <t>2-4 years experience in software development required</t>
        </is>
      </c>
      <c r="J4" s="3" t="inlineStr">
        <is>
          <t>In range</t>
        </is>
      </c>
      <c r="K4" s="3" t="inlineStr">
        <is>
          <t>Bachelor's Degree in Computer Science or related Engineering field; and/or commensurate experience preferred</t>
        </is>
      </c>
      <c r="L4" s="3" t="inlineStr">
        <is>
          <t>Degree or equivalent experience</t>
        </is>
      </c>
      <c r="M4" s="2" t="inlineStr">
        <is>
          <t>Yes</t>
        </is>
      </c>
      <c r="N4" s="2" t="inlineStr"/>
      <c r="O4" s="2" t="inlineStr">
        <is>
          <t>Yes</t>
        </is>
      </c>
      <c r="P4" s="3" t="inlineStr">
        <is>
          <t>C#, .NET Core, ASP.NET MVC, Java, Go, Angular, Azure Kubernetes Service, Terraform, SQL Server, CosmosDB</t>
        </is>
      </c>
      <c r="Q4" s="3" t="inlineStr">
        <is>
          <t>Not listed (competitive salary and bonus eligibility)</t>
        </is>
      </c>
      <c r="R4" s="3" t="inlineStr">
        <is>
          <t>None</t>
        </is>
      </c>
      <c r="S4" s="5" t="inlineStr">
        <is>
          <t>Open posting</t>
        </is>
      </c>
      <c r="T4" s="3" t="inlineStr">
        <is>
          <t>Builds and maintains web, mobile, API and data marketplace features on Agile Scrum teams. Also helps move products to Azure and improves build, test and deployment pipelines. Hybrid, 2 days onsite.</t>
        </is>
      </c>
      <c r="U4" s="3" t="inlineStr">
        <is>
          <t>Built In</t>
        </is>
      </c>
      <c r="V4" s="3" t="inlineStr">
        <is>
          <t>About 2 months ago</t>
        </is>
      </c>
      <c r="W4" s="6" t="n">
        <v>46316</v>
      </c>
      <c r="X4" s="6" t="n"/>
      <c r="Y4" s="3" t="n"/>
      <c r="Z4" s="3" t="n"/>
      <c r="AA4" s="3" t="n"/>
      <c r="AB4" s="6" t="n"/>
      <c r="AC4" s="3" t="n"/>
    </row>
    <row r="5">
      <c r="A5" s="2" t="n">
        <v>4</v>
      </c>
      <c r="B5" s="2" t="n">
        <v>83</v>
      </c>
      <c r="C5" s="3" t="inlineStr">
        <is>
          <t>New</t>
        </is>
      </c>
      <c r="D5" s="4" t="inlineStr">
        <is>
          <t>Junior Software Developer</t>
        </is>
      </c>
      <c r="E5" s="3" t="inlineStr">
        <is>
          <t>PingWind</t>
        </is>
      </c>
      <c r="F5" s="3" t="inlineStr">
        <is>
          <t>Remote</t>
        </is>
      </c>
      <c r="G5" s="3" t="inlineStr">
        <is>
          <t>Remote</t>
        </is>
      </c>
      <c r="H5" s="3" t="inlineStr">
        <is>
          <t>Full-time</t>
        </is>
      </c>
      <c r="I5" s="3" t="inlineStr">
        <is>
          <t>Minimum of 3+ years of professional experience in software development</t>
        </is>
      </c>
      <c r="J5" s="3" t="inlineStr">
        <is>
          <t>In range</t>
        </is>
      </c>
      <c r="K5" s="3" t="inlineStr">
        <is>
          <t>Required: High School/GED; Desired: Bachelor's degree in Computer Science, Software Engineering, or related field</t>
        </is>
      </c>
      <c r="L5" s="3" t="inlineStr">
        <is>
          <t>None required</t>
        </is>
      </c>
      <c r="M5" s="2" t="inlineStr">
        <is>
          <t>Yes</t>
        </is>
      </c>
      <c r="N5" s="2" t="inlineStr">
        <is>
          <t>Yes</t>
        </is>
      </c>
      <c r="O5" s="2" t="inlineStr"/>
      <c r="P5" s="3" t="inlineStr">
        <is>
          <t>Java, C#, Python, JavaScript/TypeScript, .NET, Angular, React, Spring Boot; DoD 8140 certification required</t>
        </is>
      </c>
      <c r="Q5" s="3" t="inlineStr">
        <is>
          <t>Not listed</t>
        </is>
      </c>
      <c r="R5" s="3" t="inlineStr">
        <is>
          <t>Top Secret</t>
        </is>
      </c>
      <c r="S5" s="5" t="inlineStr">
        <is>
          <t>Open posting</t>
        </is>
      </c>
      <c r="T5" s="3" t="inlineStr">
        <is>
          <t>PingWind, a federal contractor, wants a developer to design, build, test, and maintain software applications for a defense customer. Workplace type is listed as remote; a Top Secret clearance and DoD 8140 certification are required.</t>
        </is>
      </c>
      <c r="U5" s="3" t="inlineStr">
        <is>
          <t>Lever</t>
        </is>
      </c>
      <c r="V5" s="3" t="inlineStr">
        <is>
          <t>Not shown</t>
        </is>
      </c>
      <c r="W5" s="6" t="n">
        <v>46316</v>
      </c>
      <c r="X5" s="6" t="n"/>
      <c r="Y5" s="3" t="n"/>
      <c r="Z5" s="3" t="n"/>
      <c r="AA5" s="3" t="n"/>
      <c r="AB5" s="6" t="n"/>
      <c r="AC5" s="3" t="n"/>
    </row>
    <row r="6">
      <c r="A6" s="2" t="n">
        <v>5</v>
      </c>
      <c r="B6" s="2" t="n">
        <v>81</v>
      </c>
      <c r="C6" s="3" t="inlineStr">
        <is>
          <t>New</t>
        </is>
      </c>
      <c r="D6" s="4" t="inlineStr">
        <is>
          <t>Junior Software Engineer</t>
        </is>
      </c>
      <c r="E6" s="3" t="inlineStr">
        <is>
          <t>Striveworks</t>
        </is>
      </c>
      <c r="F6" s="3" t="inlineStr">
        <is>
          <t>Austin, TX</t>
        </is>
      </c>
      <c r="G6" s="3" t="inlineStr">
        <is>
          <t>Hybrid</t>
        </is>
      </c>
      <c r="H6" s="3" t="inlineStr">
        <is>
          <t>Full-time</t>
        </is>
      </c>
      <c r="I6" s="3" t="inlineStr">
        <is>
          <t>0-2 years of relevant professional experience</t>
        </is>
      </c>
      <c r="J6" s="3" t="inlineStr">
        <is>
          <t>In range</t>
        </is>
      </c>
      <c r="K6" s="3" t="inlineStr">
        <is>
          <t>A bachelor's degree in computer science or a related field, or completion of a software development boot camp</t>
        </is>
      </c>
      <c r="L6" s="3" t="inlineStr">
        <is>
          <t>Degree or equivalent experience</t>
        </is>
      </c>
      <c r="M6" s="2" t="inlineStr"/>
      <c r="N6" s="2" t="inlineStr">
        <is>
          <t>Yes</t>
        </is>
      </c>
      <c r="O6" s="2" t="inlineStr">
        <is>
          <t>Yes</t>
        </is>
      </c>
      <c r="P6" s="3" t="inlineStr">
        <is>
          <t>Python, Go, Rust, SQL, Kubernetes</t>
        </is>
      </c>
      <c r="Q6" s="3" t="inlineStr">
        <is>
          <t>$100,000-$130,000/year</t>
        </is>
      </c>
      <c r="R6" s="3" t="inlineStr">
        <is>
          <t>US citizenship and eligibility and willingness to obtain and maintain a US security clearance (Secret or above); active Secret preferred</t>
        </is>
      </c>
      <c r="S6" s="5" t="inlineStr">
        <is>
          <t>Open posting</t>
        </is>
      </c>
      <c r="T6" s="3" t="inlineStr">
        <is>
          <t>Striveworks builds AI operations software for government customers and is hiring a junior engineer for its Austin office. The role is hybrid or on-site and requires clearance eligibility.</t>
        </is>
      </c>
      <c r="U6" s="3" t="inlineStr">
        <is>
          <t>Greenhouse</t>
        </is>
      </c>
      <c r="V6" s="3" t="inlineStr">
        <is>
          <t>2026-10-01</t>
        </is>
      </c>
      <c r="W6" s="6" t="n">
        <v>46316</v>
      </c>
      <c r="X6" s="6" t="n"/>
      <c r="Y6" s="3" t="n"/>
      <c r="Z6" s="3" t="n"/>
      <c r="AA6" s="3" t="n"/>
      <c r="AB6" s="6" t="n"/>
      <c r="AC6" s="3" t="n"/>
    </row>
    <row r="7">
      <c r="A7" s="2" t="n">
        <v>6</v>
      </c>
      <c r="B7" s="2" t="n">
        <v>78</v>
      </c>
      <c r="C7" s="3" t="inlineStr">
        <is>
          <t>New</t>
        </is>
      </c>
      <c r="D7" s="4" t="inlineStr">
        <is>
          <t>Software Development Engineer II</t>
        </is>
      </c>
      <c r="E7" s="3" t="inlineStr">
        <is>
          <t>GM Financial</t>
        </is>
      </c>
      <c r="F7" s="3" t="inlineStr">
        <is>
          <t>Arlington, TX</t>
        </is>
      </c>
      <c r="G7" s="3" t="inlineStr">
        <is>
          <t>Hybrid</t>
        </is>
      </c>
      <c r="H7" s="3" t="inlineStr">
        <is>
          <t>Full-time</t>
        </is>
      </c>
      <c r="I7" s="3" t="inlineStr">
        <is>
          <t>Not specified (requires experience in software development and test automation)</t>
        </is>
      </c>
      <c r="J7" s="3" t="inlineStr">
        <is>
          <t>Not specified</t>
        </is>
      </c>
      <c r="K7" s="3" t="inlineStr">
        <is>
          <t>High School Diploma or equivalent required; Bachelor's in Computer Science or related engineering field preferred, or commensurate experience</t>
        </is>
      </c>
      <c r="L7" s="3" t="inlineStr">
        <is>
          <t>None required</t>
        </is>
      </c>
      <c r="M7" s="2" t="inlineStr">
        <is>
          <t>Yes</t>
        </is>
      </c>
      <c r="N7" s="2" t="inlineStr"/>
      <c r="O7" s="2" t="inlineStr">
        <is>
          <t>Yes</t>
        </is>
      </c>
      <c r="P7" s="3" t="inlineStr">
        <is>
          <t>C# or Java, Go, PowerShell, Angular, Node.js, ASP.NET MVC, Docker, Kubernetes, Azure DevOps, Terraform, SQL Server, CosmosDB</t>
        </is>
      </c>
      <c r="Q7" s="3" t="inlineStr">
        <is>
          <t>Not listed (competitive pay and bonus eligibility)</t>
        </is>
      </c>
      <c r="R7" s="3" t="inlineStr">
        <is>
          <t>None</t>
        </is>
      </c>
      <c r="S7" s="5" t="inlineStr">
        <is>
          <t>Open posting</t>
        </is>
      </c>
      <c r="T7" s="3" t="inlineStr">
        <is>
          <t>Develops and tests software on an Agile team using C# or Java plus Go, with containerized deployment on Azure Kubernetes Service. Hybrid with two days a week in the office.</t>
        </is>
      </c>
      <c r="U7" s="3" t="inlineStr">
        <is>
          <t>Built In</t>
        </is>
      </c>
      <c r="V7" s="3" t="inlineStr">
        <is>
          <t>About 28 days ago</t>
        </is>
      </c>
      <c r="W7" s="6" t="n">
        <v>46316</v>
      </c>
      <c r="X7" s="6" t="n"/>
      <c r="Y7" s="3" t="n"/>
      <c r="Z7" s="3" t="n"/>
      <c r="AA7" s="3" t="n"/>
      <c r="AB7" s="6" t="n"/>
      <c r="AC7" s="3" t="n"/>
    </row>
    <row r="8">
      <c r="A8" s="2" t="n">
        <v>7</v>
      </c>
      <c r="B8" s="2" t="n">
        <v>78</v>
      </c>
      <c r="C8" s="3" t="inlineStr">
        <is>
          <t>New</t>
        </is>
      </c>
      <c r="D8" s="4" t="inlineStr">
        <is>
          <t>Software Engineer - SDET</t>
        </is>
      </c>
      <c r="E8" s="3" t="inlineStr">
        <is>
          <t>Visa</t>
        </is>
      </c>
      <c r="F8" s="3" t="inlineStr">
        <is>
          <t>Austin, TX</t>
        </is>
      </c>
      <c r="G8" s="3" t="inlineStr">
        <is>
          <t>Hybrid</t>
        </is>
      </c>
      <c r="H8" s="3" t="inlineStr">
        <is>
          <t>Full-time</t>
        </is>
      </c>
      <c r="I8" s="3" t="inlineStr">
        <is>
          <t>Bachelor's degree, OR 3+ years of relevant work experience</t>
        </is>
      </c>
      <c r="J8" s="3" t="inlineStr">
        <is>
          <t>In range</t>
        </is>
      </c>
      <c r="K8" s="3" t="inlineStr">
        <is>
          <t>Bachelor's degree, OR 3+ years of relevant work experience</t>
        </is>
      </c>
      <c r="L8" s="3" t="inlineStr">
        <is>
          <t>Degree or equivalent experience</t>
        </is>
      </c>
      <c r="M8" s="2" t="inlineStr">
        <is>
          <t>Yes</t>
        </is>
      </c>
      <c r="N8" s="2" t="inlineStr">
        <is>
          <t>Yes</t>
        </is>
      </c>
      <c r="O8" s="2" t="inlineStr"/>
      <c r="P8" s="3" t="inlineStr">
        <is>
          <t>C#, .NET, Python, JavaScript, C++, test automation</t>
        </is>
      </c>
      <c r="Q8" s="3" t="inlineStr">
        <is>
          <t>$86,500-$134,400</t>
        </is>
      </c>
      <c r="R8" s="3" t="inlineStr">
        <is>
          <t>None</t>
        </is>
      </c>
      <c r="S8" s="5" t="inlineStr">
        <is>
          <t>Open posting</t>
        </is>
      </c>
      <c r="T8" s="3" t="inlineStr">
        <is>
          <t>Visa is hiring a software engineer in test to build automated testing for its payment systems. Visa expects at least three days a week in the Austin office.</t>
        </is>
      </c>
      <c r="U8" s="3" t="inlineStr">
        <is>
          <t>Workday</t>
        </is>
      </c>
      <c r="V8" s="3" t="inlineStr">
        <is>
          <t>2026-10-14</t>
        </is>
      </c>
      <c r="W8" s="6" t="n">
        <v>46316</v>
      </c>
      <c r="X8" s="6" t="n"/>
      <c r="Y8" s="3" t="n"/>
      <c r="Z8" s="3" t="n"/>
      <c r="AA8" s="3" t="n"/>
      <c r="AB8" s="6" t="n"/>
      <c r="AC8" s="3" t="n"/>
    </row>
    <row r="9">
      <c r="A9" s="2" t="n">
        <v>8</v>
      </c>
      <c r="B9" s="2" t="n">
        <v>76</v>
      </c>
      <c r="C9" s="3" t="inlineStr">
        <is>
          <t>New</t>
        </is>
      </c>
      <c r="D9" s="4" t="inlineStr">
        <is>
          <t>Software Engineer II - Storage</t>
        </is>
      </c>
      <c r="E9" s="3" t="inlineStr">
        <is>
          <t>H-E-B (H-E-B Digital)</t>
        </is>
      </c>
      <c r="F9" s="3" t="inlineStr">
        <is>
          <t>San Antonio, TX</t>
        </is>
      </c>
      <c r="G9" s="3" t="inlineStr">
        <is>
          <t>On-site</t>
        </is>
      </c>
      <c r="H9" s="3" t="inlineStr">
        <is>
          <t>Full-time</t>
        </is>
      </c>
      <c r="I9" s="3" t="inlineStr">
        <is>
          <t>2+ years of experience in software development and in specific area of assignment</t>
        </is>
      </c>
      <c r="J9" s="3" t="inlineStr">
        <is>
          <t>In range</t>
        </is>
      </c>
      <c r="K9" s="3" t="inlineStr">
        <is>
          <t>A Computer Science degree or comparable formal training, certification, or work experience</t>
        </is>
      </c>
      <c r="L9" s="3" t="inlineStr">
        <is>
          <t>Degree or equivalent experience</t>
        </is>
      </c>
      <c r="M9" s="2" t="inlineStr"/>
      <c r="N9" s="2" t="inlineStr">
        <is>
          <t>Yes</t>
        </is>
      </c>
      <c r="O9" s="2" t="inlineStr">
        <is>
          <t>Yes</t>
        </is>
      </c>
      <c r="P9" s="3" t="inlineStr">
        <is>
          <t>Python, Go, Terraform, Ansible, Linux, NFS/SMB, S3, enterprise storage (Dell PowerMax, NetApp, Pure, Ceph)</t>
        </is>
      </c>
      <c r="Q9" s="3" t="inlineStr">
        <is>
          <t>Not listed</t>
        </is>
      </c>
      <c r="R9" s="3" t="inlineStr">
        <is>
          <t>None</t>
        </is>
      </c>
      <c r="S9" s="5" t="inlineStr">
        <is>
          <t>Open posting</t>
        </is>
      </c>
      <c r="T9" s="3" t="inlineStr">
        <is>
          <t>Delivers code and automation for H-E-B's enterprise storage platforms and contributes to design, reliability, and production support including on-call. The posting's expiry date is 2026-10-23.</t>
        </is>
      </c>
      <c r="U9" s="3" t="inlineStr">
        <is>
          <t>H-E-B careers site (iCIMS)</t>
        </is>
      </c>
      <c r="V9" s="3" t="inlineStr">
        <is>
          <t>2026-10-08</t>
        </is>
      </c>
      <c r="W9" s="6" t="n">
        <v>46316</v>
      </c>
      <c r="X9" s="6" t="n"/>
      <c r="Y9" s="3" t="n"/>
      <c r="Z9" s="3" t="n"/>
      <c r="AA9" s="3" t="n"/>
      <c r="AB9" s="6" t="n"/>
      <c r="AC9" s="3" t="n"/>
    </row>
    <row r="10">
      <c r="A10" s="2" t="n">
        <v>9</v>
      </c>
      <c r="B10" s="2" t="n">
        <v>76</v>
      </c>
      <c r="C10" s="3" t="inlineStr">
        <is>
          <t>New</t>
        </is>
      </c>
      <c r="D10" s="4" t="inlineStr">
        <is>
          <t>Intermediate Software Engineer - UI/API Application Development</t>
        </is>
      </c>
      <c r="E10" s="3" t="inlineStr">
        <is>
          <t>USAA</t>
        </is>
      </c>
      <c r="F10" s="3" t="inlineStr">
        <is>
          <t>San Antonio, TX</t>
        </is>
      </c>
      <c r="G10" s="3" t="inlineStr">
        <is>
          <t>Hybrid</t>
        </is>
      </c>
      <c r="H10" s="3" t="inlineStr">
        <is>
          <t>Full-time</t>
        </is>
      </c>
      <c r="I10" s="3" t="inlineStr">
        <is>
          <t>2 years of software development experience specific to a discipline/technology; 1 year of experience delivering technology solutions in all phases of the software lifecycle</t>
        </is>
      </c>
      <c r="J10" s="3" t="inlineStr">
        <is>
          <t>In range</t>
        </is>
      </c>
      <c r="K10" s="3" t="inlineStr">
        <is>
          <t>Bachelor's degree; OR 4 years of relevant education and/or experience</t>
        </is>
      </c>
      <c r="L10" s="3" t="inlineStr">
        <is>
          <t>Degree or equivalent experience</t>
        </is>
      </c>
      <c r="M10" s="2" t="inlineStr"/>
      <c r="N10" s="2" t="inlineStr">
        <is>
          <t>Yes</t>
        </is>
      </c>
      <c r="O10" s="2" t="inlineStr">
        <is>
          <t>Yes</t>
        </is>
      </c>
      <c r="P10" s="3" t="inlineStr">
        <is>
          <t>Java, JavaScript, Go, Python, Kotlin, C++, Spring Boot, React, REST APIs, SQL, Kafka, Docker, Kubernetes/OpenShift, mainframe (COBOL, PL/I, CICS, DB2)</t>
        </is>
      </c>
      <c r="Q10" s="3" t="inlineStr">
        <is>
          <t>$77,120 - $147,390</t>
        </is>
      </c>
      <c r="R10" s="3" t="inlineStr">
        <is>
          <t>None</t>
        </is>
      </c>
      <c r="S10" s="5" t="inlineStr">
        <is>
          <t>Open posting</t>
        </is>
      </c>
      <c r="T10" s="3" t="inlineStr">
        <is>
          <t>Joins an Agile team that supports and modernizes the Property Core Platform behind homeowners and renters insurance. Covers enhancements, integrations, testing, and production support across legacy mainframe and modern cloud stacks.</t>
        </is>
      </c>
      <c r="U10" s="3" t="inlineStr">
        <is>
          <t>Workday (USAA careers)</t>
        </is>
      </c>
      <c r="V10" s="3" t="inlineStr">
        <is>
          <t>2026-10-20</t>
        </is>
      </c>
      <c r="W10" s="6" t="n">
        <v>46316</v>
      </c>
      <c r="X10" s="6" t="n"/>
      <c r="Y10" s="3" t="n"/>
      <c r="Z10" s="3" t="n"/>
      <c r="AA10" s="3" t="n"/>
      <c r="AB10" s="6" t="n"/>
      <c r="AC10" s="3" t="n"/>
    </row>
    <row r="11">
      <c r="A11" s="2" t="n">
        <v>10</v>
      </c>
      <c r="B11" s="2" t="n">
        <v>74</v>
      </c>
      <c r="C11" s="3" t="inlineStr">
        <is>
          <t>New</t>
        </is>
      </c>
      <c r="D11" s="4" t="inlineStr">
        <is>
          <t>Software Engineer, Content Platform</t>
        </is>
      </c>
      <c r="E11" s="3" t="inlineStr">
        <is>
          <t>Reddit</t>
        </is>
      </c>
      <c r="F11" s="3" t="inlineStr">
        <is>
          <t>Remote</t>
        </is>
      </c>
      <c r="G11" s="3" t="inlineStr">
        <is>
          <t>Remote</t>
        </is>
      </c>
      <c r="H11" s="3" t="inlineStr">
        <is>
          <t>Not specified</t>
        </is>
      </c>
      <c r="I11" s="3" t="inlineStr">
        <is>
          <t>3+ years of software engineering experience in a production setting</t>
        </is>
      </c>
      <c r="J11" s="3" t="inlineStr">
        <is>
          <t>In range</t>
        </is>
      </c>
      <c r="K11" s="3" t="inlineStr">
        <is>
          <t>BS in Computer Science, a related field, or equivalent work experience</t>
        </is>
      </c>
      <c r="L11" s="3" t="inlineStr">
        <is>
          <t>Degree or equivalent experience</t>
        </is>
      </c>
      <c r="M11" s="2" t="inlineStr"/>
      <c r="N11" s="2" t="inlineStr">
        <is>
          <t>Yes</t>
        </is>
      </c>
      <c r="O11" s="2" t="inlineStr">
        <is>
          <t>Yes</t>
        </is>
      </c>
      <c r="P11" s="3" t="inlineStr">
        <is>
          <t>Go (mostly), Python</t>
        </is>
      </c>
      <c r="Q11" s="3" t="inlineStr">
        <is>
          <t>$164,200 - $229,900 base</t>
        </is>
      </c>
      <c r="R11" s="3" t="inlineStr">
        <is>
          <t>None</t>
        </is>
      </c>
      <c r="S11" s="5" t="inlineStr">
        <is>
          <t>Open posting</t>
        </is>
      </c>
      <c r="T11" s="3" t="inlineStr">
        <is>
          <t>The engineer writes Go services, sometimes Python, that improve the availability, latency, and efficiency of Reddit's content platform. Remote in the United States with no state limits listed.</t>
        </is>
      </c>
      <c r="U11" s="3" t="inlineStr">
        <is>
          <t>Greenhouse</t>
        </is>
      </c>
      <c r="V11" s="3" t="inlineStr">
        <is>
          <t>Not shown</t>
        </is>
      </c>
      <c r="W11" s="6" t="n">
        <v>46316</v>
      </c>
      <c r="X11" s="6" t="n"/>
      <c r="Y11" s="3" t="n"/>
      <c r="Z11" s="3" t="n"/>
      <c r="AA11" s="3" t="n"/>
      <c r="AB11" s="6" t="n"/>
      <c r="AC11" s="3" t="n"/>
    </row>
    <row r="12">
      <c r="A12" s="2" t="n">
        <v>11</v>
      </c>
      <c r="B12" s="2" t="n">
        <v>73</v>
      </c>
      <c r="C12" s="3" t="inlineStr">
        <is>
          <t>New</t>
        </is>
      </c>
      <c r="D12" s="4" t="inlineStr">
        <is>
          <t>Software Engineer I</t>
        </is>
      </c>
      <c r="E12" s="3" t="inlineStr">
        <is>
          <t>Everfox (Forcepoint)</t>
        </is>
      </c>
      <c r="F12" s="3" t="inlineStr">
        <is>
          <t>Richardson, TX</t>
        </is>
      </c>
      <c r="G12" s="3" t="inlineStr">
        <is>
          <t>Hybrid</t>
        </is>
      </c>
      <c r="H12" s="3" t="inlineStr">
        <is>
          <t>Full-time</t>
        </is>
      </c>
      <c r="I12" s="3" t="inlineStr">
        <is>
          <t>Experience with software development in Linux environments (no years stated)</t>
        </is>
      </c>
      <c r="J12" s="3" t="inlineStr">
        <is>
          <t>Not specified</t>
        </is>
      </c>
      <c r="K12" s="3" t="inlineStr">
        <is>
          <t>BS Computer Science, Computer Engineer, Information Security or equivalent</t>
        </is>
      </c>
      <c r="L12" s="3" t="inlineStr">
        <is>
          <t>Degree or equivalent experience</t>
        </is>
      </c>
      <c r="M12" s="2" t="inlineStr"/>
      <c r="N12" s="2" t="inlineStr">
        <is>
          <t>Yes</t>
        </is>
      </c>
      <c r="O12" s="2" t="inlineStr">
        <is>
          <t>Yes</t>
        </is>
      </c>
      <c r="P12" s="3" t="inlineStr">
        <is>
          <t>Rust, C, C++, Java, Python, Go, Bash, Linux, Git, TCP/IP</t>
        </is>
      </c>
      <c r="Q12" s="3" t="inlineStr">
        <is>
          <t>USD $74,100.00 - 107,300.00 per year</t>
        </is>
      </c>
      <c r="R12" s="3" t="inlineStr">
        <is>
          <t>None stated; some roles may require U.S. Person status under ITAR/EAR</t>
        </is>
      </c>
      <c r="S12" s="5" t="inlineStr">
        <is>
          <t>Open posting</t>
        </is>
      </c>
      <c r="T12" s="3" t="inlineStr">
        <is>
          <t>Builds and tests features for cross-domain security products on Linux desktops, networking and virtual desktop systems. The description calls it hybrid with 2 to 3 days a week in the Richardson office, though the header says on-site.</t>
        </is>
      </c>
      <c r="U12" s="3" t="inlineStr">
        <is>
          <t>Dice</t>
        </is>
      </c>
      <c r="V12" s="3" t="inlineStr">
        <is>
          <t>Not shown (listed 60+ days ago, updated recently)</t>
        </is>
      </c>
      <c r="W12" s="6" t="n">
        <v>46316</v>
      </c>
      <c r="X12" s="6" t="n"/>
      <c r="Y12" s="3" t="n"/>
      <c r="Z12" s="3" t="n"/>
      <c r="AA12" s="3" t="n"/>
      <c r="AB12" s="6" t="n"/>
      <c r="AC12" s="3" t="n"/>
    </row>
    <row r="13">
      <c r="A13" s="2" t="n">
        <v>12</v>
      </c>
      <c r="B13" s="2" t="n">
        <v>72</v>
      </c>
      <c r="C13" s="3" t="inlineStr">
        <is>
          <t>New</t>
        </is>
      </c>
      <c r="D13" s="4" t="inlineStr">
        <is>
          <t>Platform Software Engineer II - Linux (Onsite)</t>
        </is>
      </c>
      <c r="E13" s="3" t="inlineStr">
        <is>
          <t>Raytheon (RTX)</t>
        </is>
      </c>
      <c r="F13" s="3" t="inlineStr">
        <is>
          <t>McKinney, TX</t>
        </is>
      </c>
      <c r="G13" s="3" t="inlineStr">
        <is>
          <t>On-site</t>
        </is>
      </c>
      <c r="H13" s="3" t="inlineStr">
        <is>
          <t>Full-time</t>
        </is>
      </c>
      <c r="I13" s="3" t="inlineStr">
        <is>
          <t>Typically requires a degree in STEM and a minimum of 2 years of prior relevant engineering experience</t>
        </is>
      </c>
      <c r="J13" s="3" t="inlineStr">
        <is>
          <t>In range</t>
        </is>
      </c>
      <c r="K13" s="3" t="inlineStr">
        <is>
          <t>Typically requires a degree in STEM; an advanced degree may substitute for an additional 2 years of experience</t>
        </is>
      </c>
      <c r="L13" s="3" t="inlineStr">
        <is>
          <t>Bachelor's required</t>
        </is>
      </c>
      <c r="M13" s="2" t="inlineStr">
        <is>
          <t>Yes</t>
        </is>
      </c>
      <c r="N13" s="2" t="inlineStr">
        <is>
          <t>Yes</t>
        </is>
      </c>
      <c r="O13" s="2" t="inlineStr"/>
      <c r="P13" s="3" t="inlineStr">
        <is>
          <t>Red Hat Enterprise Linux, Bash, Python, KVM, DevSecOps; one of Groovy, C++, C#, Python, Java; CompTIA Security+ required</t>
        </is>
      </c>
      <c r="Q13" s="3" t="inlineStr">
        <is>
          <t>Not listed</t>
        </is>
      </c>
      <c r="R13" s="3" t="inlineStr">
        <is>
          <t>DoD Secret; ability to obtain and maintain required; U.S. citizenship required</t>
        </is>
      </c>
      <c r="S13" s="5" t="inlineStr">
        <is>
          <t>Open posting</t>
        </is>
      </c>
      <c r="T13" s="3" t="inlineStr">
        <is>
          <t>Builds, secures and maintains RHEL-based platforms, including STIG hardening, patching and packaging. Uses Bash and Python scripting and Linux virtualization and networking to support DevSecOps toolchains.</t>
        </is>
      </c>
      <c r="U13" s="3" t="inlineStr">
        <is>
          <t>Workday (RTX careers)</t>
        </is>
      </c>
      <c r="V13" s="3" t="inlineStr">
        <is>
          <t>2026-10-20</t>
        </is>
      </c>
      <c r="W13" s="6" t="n">
        <v>46316</v>
      </c>
      <c r="X13" s="6" t="n"/>
      <c r="Y13" s="3" t="n"/>
      <c r="Z13" s="3" t="n"/>
      <c r="AA13" s="3" t="n"/>
      <c r="AB13" s="6" t="n"/>
      <c r="AC13" s="3" t="n"/>
    </row>
    <row r="14">
      <c r="A14" s="2" t="n">
        <v>13</v>
      </c>
      <c r="B14" s="2" t="n">
        <v>71</v>
      </c>
      <c r="C14" s="3" t="inlineStr">
        <is>
          <t>New</t>
        </is>
      </c>
      <c r="D14" s="4" t="inlineStr">
        <is>
          <t>Software Engineer - Secure Container Images</t>
        </is>
      </c>
      <c r="E14" s="3" t="inlineStr">
        <is>
          <t>Canonical</t>
        </is>
      </c>
      <c r="F14" s="3" t="inlineStr">
        <is>
          <t>Remote</t>
        </is>
      </c>
      <c r="G14" s="3" t="inlineStr">
        <is>
          <t>Remote</t>
        </is>
      </c>
      <c r="H14" s="3" t="inlineStr">
        <is>
          <t>Not specified</t>
        </is>
      </c>
      <c r="I14" s="3" t="inlineStr">
        <is>
          <t>0-7 years relevant experience</t>
        </is>
      </c>
      <c r="J14" s="3" t="inlineStr">
        <is>
          <t>In range</t>
        </is>
      </c>
      <c r="K14" s="3" t="inlineStr">
        <is>
          <t>A Bachelor's degree or equivalent in Computer Science, a STEM field, or a similar discipline</t>
        </is>
      </c>
      <c r="L14" s="3" t="inlineStr">
        <is>
          <t>Degree or equivalent experience</t>
        </is>
      </c>
      <c r="M14" s="2" t="inlineStr"/>
      <c r="N14" s="2" t="inlineStr">
        <is>
          <t>Yes</t>
        </is>
      </c>
      <c r="O14" s="2" t="inlineStr">
        <is>
          <t>Yes</t>
        </is>
      </c>
      <c r="P14" s="3" t="inlineStr">
        <is>
          <t>Python, Bash, CI/CD (GitHub Actions, Jenkins), container images; Go or Rust a plus</t>
        </is>
      </c>
      <c r="Q14" s="3" t="inlineStr">
        <is>
          <t>Not listed</t>
        </is>
      </c>
      <c r="R14" s="3" t="inlineStr">
        <is>
          <t>None</t>
        </is>
      </c>
      <c r="S14" s="5" t="inlineStr">
        <is>
          <t>Open posting</t>
        </is>
      </c>
      <c r="T14" s="3" t="inlineStr">
        <is>
          <t>The engineer builds hardened, minimal Ubuntu-based container images and the CI tooling around them. Globally remote, including home based in the Americas.</t>
        </is>
      </c>
      <c r="U14" s="3" t="inlineStr">
        <is>
          <t>Greenhouse</t>
        </is>
      </c>
      <c r="V14" s="3" t="inlineStr">
        <is>
          <t>Not shown</t>
        </is>
      </c>
      <c r="W14" s="6" t="n">
        <v>46316</v>
      </c>
      <c r="X14" s="6" t="n"/>
      <c r="Y14" s="3" t="n"/>
      <c r="Z14" s="3" t="n"/>
      <c r="AA14" s="3" t="n"/>
      <c r="AB14" s="6" t="n"/>
      <c r="AC14" s="3" t="n"/>
    </row>
    <row r="15">
      <c r="A15" s="2" t="n">
        <v>14</v>
      </c>
      <c r="B15" s="2" t="n">
        <v>71</v>
      </c>
      <c r="C15" s="3" t="inlineStr">
        <is>
          <t>New</t>
        </is>
      </c>
      <c r="D15" s="4" t="inlineStr">
        <is>
          <t>Software Engineer - Compliance CXAE</t>
        </is>
      </c>
      <c r="E15" s="3" t="inlineStr">
        <is>
          <t>Coinbase</t>
        </is>
      </c>
      <c r="F15" s="3" t="inlineStr">
        <is>
          <t>Remote</t>
        </is>
      </c>
      <c r="G15" s="3" t="inlineStr">
        <is>
          <t>Remote</t>
        </is>
      </c>
      <c r="H15" s="3" t="inlineStr">
        <is>
          <t>Not specified</t>
        </is>
      </c>
      <c r="I15" s="3" t="inlineStr">
        <is>
          <t>2+ years of professional software engineering experience building web applications with at least one modern backend language</t>
        </is>
      </c>
      <c r="J15" s="3" t="inlineStr">
        <is>
          <t>In range</t>
        </is>
      </c>
      <c r="K15" s="3" t="inlineStr">
        <is>
          <t>Not specified</t>
        </is>
      </c>
      <c r="L15" s="3" t="inlineStr">
        <is>
          <t>Not specified</t>
        </is>
      </c>
      <c r="M15" s="2" t="inlineStr"/>
      <c r="N15" s="2" t="inlineStr">
        <is>
          <t>Yes</t>
        </is>
      </c>
      <c r="O15" s="2" t="inlineStr">
        <is>
          <t>Yes</t>
        </is>
      </c>
      <c r="P15" s="3" t="inlineStr">
        <is>
          <t>Golang, Python, Java, React, cloud</t>
        </is>
      </c>
      <c r="Q15" s="3" t="inlineStr">
        <is>
          <t>$152,405 - $179,300 base (excluding equity and bonus)</t>
        </is>
      </c>
      <c r="R15" s="3" t="inlineStr">
        <is>
          <t>None</t>
        </is>
      </c>
      <c r="S15" s="5" t="inlineStr">
        <is>
          <t>Open posting</t>
        </is>
      </c>
      <c r="T15" s="3" t="inlineStr">
        <is>
          <t>The engineer owns full-stack features on Coinbase's compliance agent platform in Golang and React, including third-party integrations that speed up KYC workflows. Remote anywhere in the USA.</t>
        </is>
      </c>
      <c r="U15" s="3" t="inlineStr">
        <is>
          <t>Greenhouse (Coinbase)</t>
        </is>
      </c>
      <c r="V15" s="3" t="inlineStr">
        <is>
          <t>Not shown</t>
        </is>
      </c>
      <c r="W15" s="6" t="n">
        <v>46316</v>
      </c>
      <c r="X15" s="6" t="n"/>
      <c r="Y15" s="3" t="n"/>
      <c r="Z15" s="3" t="n"/>
      <c r="AA15" s="3" t="n"/>
      <c r="AB15" s="6" t="n"/>
      <c r="AC15" s="3" t="n"/>
    </row>
    <row r="16">
      <c r="A16" s="2" t="n">
        <v>15</v>
      </c>
      <c r="B16" s="2" t="n">
        <v>71</v>
      </c>
      <c r="C16" s="3" t="inlineStr">
        <is>
          <t>New</t>
        </is>
      </c>
      <c r="D16" s="4" t="inlineStr">
        <is>
          <t>Software Engineer, Ingestion Platform</t>
        </is>
      </c>
      <c r="E16" s="3" t="inlineStr">
        <is>
          <t>Reddit</t>
        </is>
      </c>
      <c r="F16" s="3" t="inlineStr">
        <is>
          <t>Remote</t>
        </is>
      </c>
      <c r="G16" s="3" t="inlineStr">
        <is>
          <t>Remote</t>
        </is>
      </c>
      <c r="H16" s="3" t="inlineStr">
        <is>
          <t>Not specified</t>
        </is>
      </c>
      <c r="I16" s="3" t="inlineStr">
        <is>
          <t>2+ years of software engineering experience in a production setting</t>
        </is>
      </c>
      <c r="J16" s="3" t="inlineStr">
        <is>
          <t>In range</t>
        </is>
      </c>
      <c r="K16" s="3" t="inlineStr">
        <is>
          <t>Not specified</t>
        </is>
      </c>
      <c r="L16" s="3" t="inlineStr">
        <is>
          <t>Not specified</t>
        </is>
      </c>
      <c r="M16" s="2" t="inlineStr"/>
      <c r="N16" s="2" t="inlineStr">
        <is>
          <t>Yes</t>
        </is>
      </c>
      <c r="O16" s="2" t="inlineStr">
        <is>
          <t>Yes</t>
        </is>
      </c>
      <c r="P16" s="3" t="inlineStr">
        <is>
          <t>Python, Scala, Go, Java, large-scale data systems</t>
        </is>
      </c>
      <c r="Q16" s="3" t="inlineStr">
        <is>
          <t>$164,200 - $229,900 base</t>
        </is>
      </c>
      <c r="R16" s="3" t="inlineStr">
        <is>
          <t>None</t>
        </is>
      </c>
      <c r="S16" s="5" t="inlineStr">
        <is>
          <t>Open posting</t>
        </is>
      </c>
      <c r="T16" s="3" t="inlineStr">
        <is>
          <t>The engineer builds and monitors the platform that ingests data for Reddit's product, ads, and ML teams. Remote in the United States with no state limits listed.</t>
        </is>
      </c>
      <c r="U16" s="3" t="inlineStr">
        <is>
          <t>Greenhouse</t>
        </is>
      </c>
      <c r="V16" s="3" t="inlineStr">
        <is>
          <t>Not shown</t>
        </is>
      </c>
      <c r="W16" s="6" t="n">
        <v>46316</v>
      </c>
      <c r="X16" s="6" t="n"/>
      <c r="Y16" s="3" t="n"/>
      <c r="Z16" s="3" t="n"/>
      <c r="AA16" s="3" t="n"/>
      <c r="AB16" s="6" t="n"/>
      <c r="AC16" s="3" t="n"/>
    </row>
    <row r="17">
      <c r="A17" s="2" t="n">
        <v>16</v>
      </c>
      <c r="B17" s="2" t="n">
        <v>71</v>
      </c>
      <c r="C17" s="3" t="inlineStr">
        <is>
          <t>New</t>
        </is>
      </c>
      <c r="D17" s="4" t="inlineStr">
        <is>
          <t>Software Engineer, DevOps / Infrastructure</t>
        </is>
      </c>
      <c r="E17" s="3" t="inlineStr">
        <is>
          <t>Topaz Labs</t>
        </is>
      </c>
      <c r="F17" s="3" t="inlineStr">
        <is>
          <t>Dallas, TX</t>
        </is>
      </c>
      <c r="G17" s="3" t="inlineStr">
        <is>
          <t>On-site</t>
        </is>
      </c>
      <c r="H17" s="3" t="inlineStr">
        <is>
          <t>Full-time</t>
        </is>
      </c>
      <c r="I17" s="3" t="inlineStr">
        <is>
          <t>At least 2 years of professional experience in a related field (plus 3+ years familiarity with C++ build tools)</t>
        </is>
      </c>
      <c r="J17" s="3" t="inlineStr">
        <is>
          <t>In range</t>
        </is>
      </c>
      <c r="K17" s="3" t="inlineStr">
        <is>
          <t>Not specified</t>
        </is>
      </c>
      <c r="L17" s="3" t="inlineStr">
        <is>
          <t>Not specified</t>
        </is>
      </c>
      <c r="M17" s="2" t="inlineStr"/>
      <c r="N17" s="2" t="inlineStr">
        <is>
          <t>Yes</t>
        </is>
      </c>
      <c r="O17" s="2" t="inlineStr">
        <is>
          <t>Yes</t>
        </is>
      </c>
      <c r="P17" s="3" t="inlineStr">
        <is>
          <t>C++ build tools, CI/CD, AWS/Azure, test automation, CDN; Python, Go or JavaScript preferred</t>
        </is>
      </c>
      <c r="Q17" s="3" t="inlineStr">
        <is>
          <t>$110,000 - $160,000 plus equity and profit sharing</t>
        </is>
      </c>
      <c r="R17" s="3" t="inlineStr">
        <is>
          <t>None</t>
        </is>
      </c>
      <c r="S17" s="5" t="inlineStr">
        <is>
          <t>Open posting</t>
        </is>
      </c>
      <c r="T17" s="3" t="inlineStr">
        <is>
          <t>Expands the build and release pipeline for Topaz products and ML model distribution. Adds automated testing and helps keep biweekly releases stable.</t>
        </is>
      </c>
      <c r="U17" s="3" t="inlineStr">
        <is>
          <t>Lever</t>
        </is>
      </c>
      <c r="V17" s="3" t="inlineStr">
        <is>
          <t>Not shown</t>
        </is>
      </c>
      <c r="W17" s="6" t="n">
        <v>46316</v>
      </c>
      <c r="X17" s="6" t="n"/>
      <c r="Y17" s="3" t="n"/>
      <c r="Z17" s="3" t="n"/>
      <c r="AA17" s="3" t="n"/>
      <c r="AB17" s="6" t="n"/>
      <c r="AC17" s="3" t="n"/>
    </row>
    <row r="18">
      <c r="A18" s="2" t="n">
        <v>17</v>
      </c>
      <c r="B18" s="2" t="n">
        <v>70</v>
      </c>
      <c r="C18" s="3" t="inlineStr">
        <is>
          <t>New</t>
        </is>
      </c>
      <c r="D18" s="4" t="inlineStr">
        <is>
          <t>Full Stack / IOT Developer</t>
        </is>
      </c>
      <c r="E18" s="3" t="inlineStr">
        <is>
          <t>3M</t>
        </is>
      </c>
      <c r="F18" s="3" t="inlineStr">
        <is>
          <t>Austin, TX</t>
        </is>
      </c>
      <c r="G18" s="3" t="inlineStr">
        <is>
          <t>On-site</t>
        </is>
      </c>
      <c r="H18" s="3" t="inlineStr">
        <is>
          <t>Full-time</t>
        </is>
      </c>
      <c r="I18" s="3" t="inlineStr">
        <is>
          <t>Three (3) or more years experience developing and deploying full-stack and mobile applications</t>
        </is>
      </c>
      <c r="J18" s="3" t="inlineStr">
        <is>
          <t>In range</t>
        </is>
      </c>
      <c r="K18" s="3" t="inlineStr">
        <is>
          <t>Bachelor's Degree in Computer Science, Computer Engineering, or Software Engineering</t>
        </is>
      </c>
      <c r="L18" s="3" t="inlineStr">
        <is>
          <t>Bachelor's required</t>
        </is>
      </c>
      <c r="M18" s="2" t="inlineStr">
        <is>
          <t>Yes</t>
        </is>
      </c>
      <c r="N18" s="2" t="inlineStr">
        <is>
          <t>Yes</t>
        </is>
      </c>
      <c r="O18" s="2" t="inlineStr"/>
      <c r="P18" s="3" t="inlineStr">
        <is>
          <t>Java, TypeScript/JavaScript, Swift, Kotlin, Python, C#, AWS/Azure, Angular, Spring Boot</t>
        </is>
      </c>
      <c r="Q18" s="3" t="inlineStr">
        <is>
          <t>$124,127-$151,710 including variable pay</t>
        </is>
      </c>
      <c r="R18" s="3" t="inlineStr">
        <is>
          <t>None</t>
        </is>
      </c>
      <c r="S18" s="5" t="inlineStr">
        <is>
          <t>Open posting</t>
        </is>
      </c>
      <c r="T18" s="3" t="inlineStr">
        <is>
          <t>3M is hiring a developer to build connected device apps, from mobile front ends to cloud APIs. The posting says the job is open to people moving from military or government work, and staff are on site at least four days a week.</t>
        </is>
      </c>
      <c r="U18" s="3" t="inlineStr">
        <is>
          <t>Workday</t>
        </is>
      </c>
      <c r="V18" s="3" t="inlineStr">
        <is>
          <t>2026-10-06</t>
        </is>
      </c>
      <c r="W18" s="6" t="n">
        <v>46316</v>
      </c>
      <c r="X18" s="6" t="n"/>
      <c r="Y18" s="3" t="n"/>
      <c r="Z18" s="3" t="n"/>
      <c r="AA18" s="3" t="n"/>
      <c r="AB18" s="6" t="n"/>
      <c r="AC18" s="3" t="n"/>
    </row>
    <row r="19">
      <c r="A19" s="2" t="n">
        <v>18</v>
      </c>
      <c r="B19" s="2" t="n">
        <v>70</v>
      </c>
      <c r="C19" s="3" t="inlineStr">
        <is>
          <t>New</t>
        </is>
      </c>
      <c r="D19" s="4" t="inlineStr">
        <is>
          <t>Software Engineer</t>
        </is>
      </c>
      <c r="E19" s="3" t="inlineStr">
        <is>
          <t>Caterpillar</t>
        </is>
      </c>
      <c r="F19" s="3" t="inlineStr">
        <is>
          <t>Irving, TX (also Chicago or Peoria)</t>
        </is>
      </c>
      <c r="G19" s="3" t="inlineStr">
        <is>
          <t>On-site</t>
        </is>
      </c>
      <c r="H19" s="3" t="inlineStr">
        <is>
          <t>Full-time</t>
        </is>
      </c>
      <c r="I19" s="3" t="inlineStr">
        <is>
          <t>0-2 years of relevant experience related to this field (internships or academic projects are a plus)</t>
        </is>
      </c>
      <c r="J19" s="3" t="inlineStr">
        <is>
          <t>In range</t>
        </is>
      </c>
      <c r="K19" s="3" t="inlineStr">
        <is>
          <t>Bachelor's degree or higher in Computer Science, Software Engineering or related degree (must complete degree by start date)</t>
        </is>
      </c>
      <c r="L19" s="3" t="inlineStr">
        <is>
          <t>Bachelor's required</t>
        </is>
      </c>
      <c r="M19" s="2" t="inlineStr">
        <is>
          <t>Yes</t>
        </is>
      </c>
      <c r="N19" s="2" t="inlineStr">
        <is>
          <t>Yes</t>
        </is>
      </c>
      <c r="O19" s="2" t="inlineStr"/>
      <c r="P19" s="3" t="inlineStr">
        <is>
          <t>Java, JavaScript, Python, .NET, Spring Boot, React, SQL, APIs, cloud platforms</t>
        </is>
      </c>
      <c r="Q19" s="3" t="inlineStr">
        <is>
          <t>$89,210 - $144,960</t>
        </is>
      </c>
      <c r="R19" s="3" t="inlineStr">
        <is>
          <t>None (visa sponsorship not available)</t>
        </is>
      </c>
      <c r="S19" s="5" t="inlineStr">
        <is>
          <t>Open posting</t>
        </is>
      </c>
      <c r="T19" s="3" t="inlineStr">
        <is>
          <t>Early-career role on Cat Digital building AI-powered solutions, microservices, web and mobile features, and Python data pipelines. Meant for people generally within the first 24 months of their career.</t>
        </is>
      </c>
      <c r="U19" s="3" t="inlineStr">
        <is>
          <t>Workday</t>
        </is>
      </c>
      <c r="V19" s="3" t="inlineStr">
        <is>
          <t>2026-09-11</t>
        </is>
      </c>
      <c r="W19" s="6" t="n">
        <v>46316</v>
      </c>
      <c r="X19" s="6" t="n"/>
      <c r="Y19" s="3" t="n"/>
      <c r="Z19" s="3" t="n"/>
      <c r="AA19" s="3" t="n"/>
      <c r="AB19" s="6" t="n"/>
      <c r="AC19" s="3" t="n"/>
    </row>
    <row r="20">
      <c r="A20" s="2" t="n">
        <v>19</v>
      </c>
      <c r="B20" s="2" t="n">
        <v>70</v>
      </c>
      <c r="C20" s="3" t="inlineStr">
        <is>
          <t>New</t>
        </is>
      </c>
      <c r="D20" s="4" t="inlineStr">
        <is>
          <t>Software Engineer III</t>
        </is>
      </c>
      <c r="E20" s="3" t="inlineStr">
        <is>
          <t>JPMorgan Chase</t>
        </is>
      </c>
      <c r="F20" s="3" t="inlineStr">
        <is>
          <t>Plano, TX</t>
        </is>
      </c>
      <c r="G20" s="3" t="inlineStr">
        <is>
          <t>On-site</t>
        </is>
      </c>
      <c r="H20" s="3" t="inlineStr">
        <is>
          <t>Full-time</t>
        </is>
      </c>
      <c r="I20" s="3" t="inlineStr">
        <is>
          <t>Formal training or certification in software engineering concepts plus 3 years of applied experience</t>
        </is>
      </c>
      <c r="J20" s="3" t="inlineStr">
        <is>
          <t>In range</t>
        </is>
      </c>
      <c r="K20" s="3" t="inlineStr">
        <is>
          <t>Formal training or certification on software engineering concepts (no degree named)</t>
        </is>
      </c>
      <c r="L20" s="3" t="inlineStr">
        <is>
          <t>Not specified</t>
        </is>
      </c>
      <c r="M20" s="2" t="inlineStr">
        <is>
          <t>Yes</t>
        </is>
      </c>
      <c r="N20" s="2" t="inlineStr">
        <is>
          <t>Yes</t>
        </is>
      </c>
      <c r="O20" s="2" t="inlineStr"/>
      <c r="P20" s="3" t="inlineStr">
        <is>
          <t>Python, Java Spring Boot, .NET, site reliability practices</t>
        </is>
      </c>
      <c r="Q20" s="3" t="inlineStr">
        <is>
          <t>Not listed</t>
        </is>
      </c>
      <c r="R20" s="3" t="inlineStr">
        <is>
          <t>None</t>
        </is>
      </c>
      <c r="S20" s="5" t="inlineStr">
        <is>
          <t>Open posting</t>
        </is>
      </c>
      <c r="T20" s="3" t="inlineStr">
        <is>
          <t>Agile team member on Corporate Technology's Employee Platforms team. The role leans toward reliability, scalability and reducing toil, with Python, Java Spring Boot or .NET named as example languages.</t>
        </is>
      </c>
      <c r="U20" s="3" t="inlineStr">
        <is>
          <t>Oracle Cloud (JPMorgan Chase careers)</t>
        </is>
      </c>
      <c r="V20" s="3" t="inlineStr">
        <is>
          <t>2026-09-24</t>
        </is>
      </c>
      <c r="W20" s="6" t="n">
        <v>46316</v>
      </c>
      <c r="X20" s="6" t="n"/>
      <c r="Y20" s="3" t="n"/>
      <c r="Z20" s="3" t="n"/>
      <c r="AA20" s="3" t="n"/>
      <c r="AB20" s="6" t="n"/>
      <c r="AC20" s="3" t="n"/>
    </row>
    <row r="21">
      <c r="A21" s="2" t="n">
        <v>20</v>
      </c>
      <c r="B21" s="2" t="n">
        <v>70</v>
      </c>
      <c r="C21" s="3" t="inlineStr">
        <is>
          <t>New</t>
        </is>
      </c>
      <c r="D21" s="4" t="inlineStr">
        <is>
          <t>Cyber Software Engineer (TG)</t>
        </is>
      </c>
      <c r="E21" s="3" t="inlineStr">
        <is>
          <t>Northrop Grumman</t>
        </is>
      </c>
      <c r="F21" s="3" t="inlineStr">
        <is>
          <t>San Antonio, TX</t>
        </is>
      </c>
      <c r="G21" s="3" t="inlineStr">
        <is>
          <t>On-site</t>
        </is>
      </c>
      <c r="H21" s="3" t="inlineStr">
        <is>
          <t>Full-time</t>
        </is>
      </c>
      <c r="I21" s="3" t="inlineStr">
        <is>
          <t>Bachelor's degree in computer science, information systems, or network engineering with 2 years of experience, Masters degree with 0 years of experience</t>
        </is>
      </c>
      <c r="J21" s="3" t="inlineStr">
        <is>
          <t>In range</t>
        </is>
      </c>
      <c r="K21" s="3" t="inlineStr">
        <is>
          <t>Bachelor's degree in computer science, information systems, or network engineering</t>
        </is>
      </c>
      <c r="L21" s="3" t="inlineStr">
        <is>
          <t>Bachelor's required</t>
        </is>
      </c>
      <c r="M21" s="2" t="inlineStr">
        <is>
          <t>Yes</t>
        </is>
      </c>
      <c r="N21" s="2" t="inlineStr">
        <is>
          <t>Yes</t>
        </is>
      </c>
      <c r="O21" s="2" t="inlineStr"/>
      <c r="P21" s="3" t="inlineStr">
        <is>
          <t>Python, C/C++, Assembly, Java, Perl, Visual Studio/.NET Windows applications</t>
        </is>
      </c>
      <c r="Q21" s="3" t="inlineStr">
        <is>
          <t>$101,000.00 - $151,400.00</t>
        </is>
      </c>
      <c r="R21" s="3" t="inlineStr">
        <is>
          <t>Current/active TS/SCI w/Polygraph</t>
        </is>
      </c>
      <c r="S21" s="5" t="inlineStr">
        <is>
          <t>Open posting</t>
        </is>
      </c>
      <c r="T21" s="3" t="inlineStr">
        <is>
          <t>Cyber software development role listed for Annapolis Junction, San Diego, Morrisville, and San Antonio. Includes building Windows applications in Visual Studio or .NET and programming in Python or C/C++.</t>
        </is>
      </c>
      <c r="U21" s="3" t="inlineStr">
        <is>
          <t>Workday (Northrop Grumman careers)</t>
        </is>
      </c>
      <c r="V21" s="3" t="inlineStr">
        <is>
          <t>2026-10-15</t>
        </is>
      </c>
      <c r="W21" s="6" t="n">
        <v>46316</v>
      </c>
      <c r="X21" s="6" t="n"/>
      <c r="Y21" s="3" t="n"/>
      <c r="Z21" s="3" t="n"/>
      <c r="AA21" s="3" t="n"/>
      <c r="AB21" s="6" t="n"/>
      <c r="AC21" s="3" t="n"/>
    </row>
    <row r="22">
      <c r="A22" s="2" t="n">
        <v>21</v>
      </c>
      <c r="B22" s="2" t="n">
        <v>68</v>
      </c>
      <c r="C22" s="3" t="inlineStr">
        <is>
          <t>New</t>
        </is>
      </c>
      <c r="D22" s="4" t="inlineStr">
        <is>
          <t>Software Engineer, Backend</t>
        </is>
      </c>
      <c r="E22" s="3" t="inlineStr">
        <is>
          <t>Base Power</t>
        </is>
      </c>
      <c r="F22" s="3" t="inlineStr">
        <is>
          <t>Austin, TX</t>
        </is>
      </c>
      <c r="G22" s="3" t="inlineStr">
        <is>
          <t>On-site</t>
        </is>
      </c>
      <c r="H22" s="3" t="inlineStr">
        <is>
          <t>Full-time</t>
        </is>
      </c>
      <c r="I22" s="3" t="inlineStr">
        <is>
          <t>1-5 years of professional software development experience</t>
        </is>
      </c>
      <c r="J22" s="3" t="inlineStr">
        <is>
          <t>In range</t>
        </is>
      </c>
      <c r="K22" s="3" t="inlineStr">
        <is>
          <t>Not specified</t>
        </is>
      </c>
      <c r="L22" s="3" t="inlineStr">
        <is>
          <t>Not specified</t>
        </is>
      </c>
      <c r="M22" s="2" t="inlineStr"/>
      <c r="N22" s="2" t="inlineStr">
        <is>
          <t>Yes</t>
        </is>
      </c>
      <c r="O22" s="2" t="inlineStr">
        <is>
          <t>Yes</t>
        </is>
      </c>
      <c r="P22" s="3" t="inlineStr">
        <is>
          <t>Python, Go, Java, AWS, GCP, Kubernetes</t>
        </is>
      </c>
      <c r="Q22" s="3" t="inlineStr">
        <is>
          <t>Not listed</t>
        </is>
      </c>
      <c r="R22" s="3" t="inlineStr">
        <is>
          <t>None</t>
        </is>
      </c>
      <c r="S22" s="5" t="inlineStr">
        <is>
          <t>Open posting</t>
        </is>
      </c>
      <c r="T22" s="3" t="inlineStr">
        <is>
          <t>Base Power is building BaseOS, the software that coordinates its fleet of home batteries. Engineers on this team build backend services and APIs that control real hardware in customer homes.</t>
        </is>
      </c>
      <c r="U22" s="3" t="inlineStr">
        <is>
          <t>Ashby</t>
        </is>
      </c>
      <c r="V22" s="3" t="inlineStr">
        <is>
          <t>2026-04-14</t>
        </is>
      </c>
      <c r="W22" s="6" t="n">
        <v>46316</v>
      </c>
      <c r="X22" s="6" t="n"/>
      <c r="Y22" s="3" t="n"/>
      <c r="Z22" s="3" t="n"/>
      <c r="AA22" s="3" t="n"/>
      <c r="AB22" s="6" t="n"/>
      <c r="AC22" s="3" t="n"/>
    </row>
    <row r="23">
      <c r="A23" s="2" t="n">
        <v>22</v>
      </c>
      <c r="B23" s="2" t="n">
        <v>68</v>
      </c>
      <c r="C23" s="3" t="inlineStr">
        <is>
          <t>New</t>
        </is>
      </c>
      <c r="D23" s="4" t="inlineStr">
        <is>
          <t>Junior Ubuntu Software Engineer</t>
        </is>
      </c>
      <c r="E23" s="3" t="inlineStr">
        <is>
          <t>Canonical</t>
        </is>
      </c>
      <c r="F23" s="3" t="inlineStr">
        <is>
          <t>Remote</t>
        </is>
      </c>
      <c r="G23" s="3" t="inlineStr">
        <is>
          <t>Remote</t>
        </is>
      </c>
      <c r="H23" s="3" t="inlineStr">
        <is>
          <t>Not specified</t>
        </is>
      </c>
      <c r="I23" s="3" t="inlineStr">
        <is>
          <t>Not specified (junior role)</t>
        </is>
      </c>
      <c r="J23" s="3" t="inlineStr">
        <is>
          <t>Not specified</t>
        </is>
      </c>
      <c r="K23" s="3" t="inlineStr">
        <is>
          <t>Undergraduate degree in Computer Science or STEM, or a compelling narrative about your alternative path</t>
        </is>
      </c>
      <c r="L23" s="3" t="inlineStr">
        <is>
          <t>Degree or equivalent experience</t>
        </is>
      </c>
      <c r="M23" s="2" t="inlineStr"/>
      <c r="N23" s="2" t="inlineStr">
        <is>
          <t>Yes</t>
        </is>
      </c>
      <c r="O23" s="2" t="inlineStr">
        <is>
          <t>Yes</t>
        </is>
      </c>
      <c r="P23" s="3" t="inlineStr">
        <is>
          <t>Rust, Go, Flutter, Python, Linux</t>
        </is>
      </c>
      <c r="Q23" s="3" t="inlineStr">
        <is>
          <t>Not listed</t>
        </is>
      </c>
      <c r="R23" s="3" t="inlineStr">
        <is>
          <t>None</t>
        </is>
      </c>
      <c r="S23" s="5" t="inlineStr">
        <is>
          <t>Open posting</t>
        </is>
      </c>
      <c r="T23" s="3" t="inlineStr">
        <is>
          <t>A junior engineer designs, builds, and ships foundational Ubuntu systems software and applications. Home based worldwide, with roles open in every time zone.</t>
        </is>
      </c>
      <c r="U23" s="3" t="inlineStr">
        <is>
          <t>Greenhouse</t>
        </is>
      </c>
      <c r="V23" s="3" t="inlineStr">
        <is>
          <t>Not shown</t>
        </is>
      </c>
      <c r="W23" s="6" t="n">
        <v>46316</v>
      </c>
      <c r="X23" s="6" t="n"/>
      <c r="Y23" s="3" t="n"/>
      <c r="Z23" s="3" t="n"/>
      <c r="AA23" s="3" t="n"/>
      <c r="AB23" s="6" t="n"/>
      <c r="AC23" s="3" t="n"/>
    </row>
    <row r="24">
      <c r="A24" s="2" t="n">
        <v>23</v>
      </c>
      <c r="B24" s="2" t="n">
        <v>67</v>
      </c>
      <c r="C24" s="3" t="inlineStr">
        <is>
          <t>New</t>
        </is>
      </c>
      <c r="D24" s="4" t="inlineStr">
        <is>
          <t>Software Engineer I, Fullstack (Search)</t>
        </is>
      </c>
      <c r="E24" s="3" t="inlineStr">
        <is>
          <t>Affirm</t>
        </is>
      </c>
      <c r="F24" s="3" t="inlineStr">
        <is>
          <t>Remote</t>
        </is>
      </c>
      <c r="G24" s="3" t="inlineStr">
        <is>
          <t>Remote</t>
        </is>
      </c>
      <c r="H24" s="3" t="inlineStr">
        <is>
          <t>Not specified</t>
        </is>
      </c>
      <c r="I24" s="3" t="inlineStr">
        <is>
          <t>Prior work or internship experience with JavaScript/TypeScript and with backend systems using Python or Kotlin (no years stated)</t>
        </is>
      </c>
      <c r="J24" s="3" t="inlineStr">
        <is>
          <t>In range</t>
        </is>
      </c>
      <c r="K24" s="3" t="inlineStr">
        <is>
          <t>Either equivalent practical experience or a Bachelor's degree in a related field</t>
        </is>
      </c>
      <c r="L24" s="3" t="inlineStr">
        <is>
          <t>Degree or equivalent experience</t>
        </is>
      </c>
      <c r="M24" s="2" t="inlineStr"/>
      <c r="N24" s="2" t="inlineStr">
        <is>
          <t>Yes</t>
        </is>
      </c>
      <c r="O24" s="2" t="inlineStr"/>
      <c r="P24" s="3" t="inlineStr">
        <is>
          <t>Python, Kotlin, JavaScript/TypeScript</t>
        </is>
      </c>
      <c r="Q24" s="3" t="inlineStr">
        <is>
          <t>$115,000 - $165,000 (all other U.S. states); $130,000 - $180,000 (CA, WA, NY, NJ, CT)</t>
        </is>
      </c>
      <c r="R24" s="3" t="inlineStr">
        <is>
          <t>None</t>
        </is>
      </c>
      <c r="S24" s="5" t="inlineStr">
        <is>
          <t>Open posting</t>
        </is>
      </c>
      <c r="T24" s="3" t="inlineStr">
        <is>
          <t>An entry-level full-stack engineer on Affirm's Search team, helping build its new Ads business and Marketplace experiences. Remote-first, from almost anywhere in the US.</t>
        </is>
      </c>
      <c r="U24" s="3" t="inlineStr">
        <is>
          <t>Greenhouse</t>
        </is>
      </c>
      <c r="V24" s="3" t="inlineStr">
        <is>
          <t>Recently (marked New)</t>
        </is>
      </c>
      <c r="W24" s="6" t="n">
        <v>46316</v>
      </c>
      <c r="X24" s="6" t="n"/>
      <c r="Y24" s="3" t="n"/>
      <c r="Z24" s="3" t="n"/>
      <c r="AA24" s="3" t="n"/>
      <c r="AB24" s="6" t="n"/>
      <c r="AC24" s="3" t="n"/>
    </row>
    <row r="25">
      <c r="A25" s="2" t="n">
        <v>24</v>
      </c>
      <c r="B25" s="2" t="n">
        <v>67</v>
      </c>
      <c r="C25" s="3" t="inlineStr">
        <is>
          <t>New</t>
        </is>
      </c>
      <c r="D25" s="4" t="inlineStr">
        <is>
          <t>Graduate Software Engineer, Open Source and Linux, Canonical Ubuntu</t>
        </is>
      </c>
      <c r="E25" s="3" t="inlineStr">
        <is>
          <t>Canonical</t>
        </is>
      </c>
      <c r="F25" s="3" t="inlineStr">
        <is>
          <t>Remote</t>
        </is>
      </c>
      <c r="G25" s="3" t="inlineStr">
        <is>
          <t>Remote</t>
        </is>
      </c>
      <c r="H25" s="3" t="inlineStr">
        <is>
          <t>Full-time</t>
        </is>
      </c>
      <c r="I25" s="3" t="inlineStr">
        <is>
          <t>Graduate level; fast track for those who completed their first degree in 2025 or 2026</t>
        </is>
      </c>
      <c r="J25" s="3" t="inlineStr">
        <is>
          <t>In range</t>
        </is>
      </c>
      <c r="K25" s="3" t="inlineStr">
        <is>
          <t>Undergraduate degree in Computer Science, Business Informatics, Mathematics, or another STEM discipline with programming courses</t>
        </is>
      </c>
      <c r="L25" s="3" t="inlineStr">
        <is>
          <t>Bachelor's required</t>
        </is>
      </c>
      <c r="M25" s="2" t="inlineStr"/>
      <c r="N25" s="2" t="inlineStr">
        <is>
          <t>Yes</t>
        </is>
      </c>
      <c r="O25" s="2" t="inlineStr">
        <is>
          <t>Yes</t>
        </is>
      </c>
      <c r="P25" s="3" t="inlineStr">
        <is>
          <t>Python, Golang, Rust, C/C++, JavaScript, Bash, Linux</t>
        </is>
      </c>
      <c r="Q25" s="3" t="inlineStr">
        <is>
          <t>Not listed</t>
        </is>
      </c>
      <c r="R25" s="3" t="inlineStr">
        <is>
          <t>None</t>
        </is>
      </c>
      <c r="S25" s="5" t="inlineStr">
        <is>
          <t>Open posting</t>
        </is>
      </c>
      <c r="T25" s="3" t="inlineStr">
        <is>
          <t>A globally remote graduate role at Canonical, the company behind Ubuntu, placing new graduates on teams that build open source products and business systems. Home based, worldwide.</t>
        </is>
      </c>
      <c r="U25" s="3" t="inlineStr">
        <is>
          <t>Greenhouse</t>
        </is>
      </c>
      <c r="V25" s="3" t="inlineStr">
        <is>
          <t>Not shown</t>
        </is>
      </c>
      <c r="W25" s="6" t="n">
        <v>46316</v>
      </c>
      <c r="X25" s="6" t="n"/>
      <c r="Y25" s="3" t="n"/>
      <c r="Z25" s="3" t="n"/>
      <c r="AA25" s="3" t="n"/>
      <c r="AB25" s="6" t="n"/>
      <c r="AC25" s="3" t="n"/>
    </row>
    <row r="26">
      <c r="A26" s="2" t="n">
        <v>25</v>
      </c>
      <c r="B26" s="2" t="n">
        <v>66</v>
      </c>
      <c r="C26" s="3" t="inlineStr">
        <is>
          <t>New</t>
        </is>
      </c>
      <c r="D26" s="4" t="inlineStr">
        <is>
          <t>Associate Security Software Engineer</t>
        </is>
      </c>
      <c r="E26" s="3" t="inlineStr">
        <is>
          <t>SailPoint</t>
        </is>
      </c>
      <c r="F26" s="3" t="inlineStr">
        <is>
          <t>Austin, TX</t>
        </is>
      </c>
      <c r="G26" s="3" t="inlineStr">
        <is>
          <t>Remote</t>
        </is>
      </c>
      <c r="H26" s="3" t="inlineStr">
        <is>
          <t>Full-time</t>
        </is>
      </c>
      <c r="I26" s="3" t="inlineStr">
        <is>
          <t>2-4 years of experience in software engineering, security automation, or DevOps</t>
        </is>
      </c>
      <c r="J26" s="3" t="inlineStr">
        <is>
          <t>In range</t>
        </is>
      </c>
      <c r="K26" s="3" t="inlineStr">
        <is>
          <t>Not specified</t>
        </is>
      </c>
      <c r="L26" s="3" t="inlineStr">
        <is>
          <t>Not specified</t>
        </is>
      </c>
      <c r="M26" s="2" t="inlineStr"/>
      <c r="N26" s="2" t="inlineStr">
        <is>
          <t>Yes</t>
        </is>
      </c>
      <c r="O26" s="2" t="inlineStr"/>
      <c r="P26" s="3" t="inlineStr">
        <is>
          <t>Python, Node, React, Rust, AWS, Kubernetes, APIs</t>
        </is>
      </c>
      <c r="Q26" s="3" t="inlineStr">
        <is>
          <t>$69,200-$116,584</t>
        </is>
      </c>
      <c r="R26" s="3" t="inlineStr">
        <is>
          <t>None</t>
        </is>
      </c>
      <c r="S26" s="5" t="inlineStr">
        <is>
          <t>Open posting</t>
        </is>
      </c>
      <c r="T26" s="3" t="inlineStr">
        <is>
          <t>SailPoint's security team needs an engineer to write custom integrations and middleware between its security tools. The posting says the job can be remote or based in Austin.</t>
        </is>
      </c>
      <c r="U26" s="3" t="inlineStr">
        <is>
          <t>Workday</t>
        </is>
      </c>
      <c r="V26" s="3" t="inlineStr">
        <is>
          <t>2026-09-09</t>
        </is>
      </c>
      <c r="W26" s="6" t="n">
        <v>46316</v>
      </c>
      <c r="X26" s="6" t="n"/>
      <c r="Y26" s="3" t="n"/>
      <c r="Z26" s="3" t="n"/>
      <c r="AA26" s="3" t="n"/>
      <c r="AB26" s="6" t="n"/>
      <c r="AC26" s="3" t="n"/>
    </row>
    <row r="27">
      <c r="A27" s="2" t="n">
        <v>26</v>
      </c>
      <c r="B27" s="2" t="n">
        <v>66</v>
      </c>
      <c r="C27" s="3" t="inlineStr">
        <is>
          <t>New</t>
        </is>
      </c>
      <c r="D27" s="4" t="inlineStr">
        <is>
          <t>Hybrid Software Engineer - Java (Entry/Mid Level)</t>
        </is>
      </c>
      <c r="E27" s="3" t="inlineStr">
        <is>
          <t>State Farm</t>
        </is>
      </c>
      <c r="F27" s="3" t="inlineStr">
        <is>
          <t>Richardson, TX</t>
        </is>
      </c>
      <c r="G27" s="3" t="inlineStr">
        <is>
          <t>Hybrid</t>
        </is>
      </c>
      <c r="H27" s="3" t="inlineStr">
        <is>
          <t>Full-time</t>
        </is>
      </c>
      <c r="I27" s="3" t="inlineStr">
        <is>
          <t>1-4 years working experience with Java and OO Design Principles</t>
        </is>
      </c>
      <c r="J27" s="3" t="inlineStr">
        <is>
          <t>In range</t>
        </is>
      </c>
      <c r="K27" s="3" t="inlineStr">
        <is>
          <t>Not specified</t>
        </is>
      </c>
      <c r="L27" s="3" t="inlineStr">
        <is>
          <t>Not specified</t>
        </is>
      </c>
      <c r="M27" s="2" t="inlineStr"/>
      <c r="N27" s="2" t="inlineStr">
        <is>
          <t>Yes</t>
        </is>
      </c>
      <c r="O27" s="2" t="inlineStr"/>
      <c r="P27" s="3" t="inlineStr">
        <is>
          <t>Java/J2EE, Python, JavaScript, React, Node.js, SQL, Spring, GitLab CI/CD, Jenkins, Docker, AWS</t>
        </is>
      </c>
      <c r="Q27" s="3" t="inlineStr">
        <is>
          <t>Potential starting salary range: $85,500 - $93,000</t>
        </is>
      </c>
      <c r="R27" s="3" t="inlineStr">
        <is>
          <t>None (must be authorized to work in the U.S.; no sponsorship)</t>
        </is>
      </c>
      <c r="S27" s="5" t="inlineStr">
        <is>
          <t>Open posting</t>
        </is>
      </c>
      <c r="T27" s="3" t="inlineStr">
        <is>
          <t>Joins a team modernizing State Farm's Property &amp; Casualty systems, handling requirements, coding and support. Hybrid role for candidates within 180 miles of the Richardson or Bloomington hub.</t>
        </is>
      </c>
      <c r="U27" s="3" t="inlineStr">
        <is>
          <t>State Farm careers (iCIMS)</t>
        </is>
      </c>
      <c r="V27" s="3" t="inlineStr">
        <is>
          <t>2026-10-01</t>
        </is>
      </c>
      <c r="W27" s="6" t="n">
        <v>46316</v>
      </c>
      <c r="X27" s="6" t="n"/>
      <c r="Y27" s="3" t="n"/>
      <c r="Z27" s="3" t="n"/>
      <c r="AA27" s="3" t="n"/>
      <c r="AB27" s="6" t="n"/>
      <c r="AC27" s="3" t="n"/>
    </row>
    <row r="28">
      <c r="A28" s="2" t="n">
        <v>27</v>
      </c>
      <c r="B28" s="2" t="n">
        <v>65</v>
      </c>
      <c r="C28" s="3" t="inlineStr">
        <is>
          <t>New</t>
        </is>
      </c>
      <c r="D28" s="4" t="inlineStr">
        <is>
          <t>Software Engineer (Full-Stack)</t>
        </is>
      </c>
      <c r="E28" s="3" t="inlineStr">
        <is>
          <t>Runpod</t>
        </is>
      </c>
      <c r="F28" s="3" t="inlineStr">
        <is>
          <t>Remote</t>
        </is>
      </c>
      <c r="G28" s="3" t="inlineStr">
        <is>
          <t>Remote</t>
        </is>
      </c>
      <c r="H28" s="3" t="inlineStr">
        <is>
          <t>Full-time</t>
        </is>
      </c>
      <c r="I28" s="3" t="inlineStr">
        <is>
          <t>Not specified</t>
        </is>
      </c>
      <c r="J28" s="3" t="inlineStr">
        <is>
          <t>Not specified</t>
        </is>
      </c>
      <c r="K28" s="3" t="inlineStr">
        <is>
          <t>Not specified</t>
        </is>
      </c>
      <c r="L28" s="3" t="inlineStr">
        <is>
          <t>Not specified</t>
        </is>
      </c>
      <c r="M28" s="2" t="inlineStr"/>
      <c r="N28" s="2" t="inlineStr">
        <is>
          <t>Yes</t>
        </is>
      </c>
      <c r="O28" s="2" t="inlineStr">
        <is>
          <t>Yes</t>
        </is>
      </c>
      <c r="P28" s="3" t="inlineStr">
        <is>
          <t>Python, TypeScript, Go</t>
        </is>
      </c>
      <c r="Q28" s="3" t="inlineStr">
        <is>
          <t>$130,000 - $200,000 (may span several career levels)</t>
        </is>
      </c>
      <c r="R28" s="3" t="inlineStr">
        <is>
          <t>None</t>
        </is>
      </c>
      <c r="S28" s="5" t="inlineStr">
        <is>
          <t>Open posting</t>
        </is>
      </c>
      <c r="T28" s="3" t="inlineStr">
        <is>
          <t>The engineer builds user interfaces, APIs, and core platform components for Runpod's AI cloud, mostly in Python and TypeScript with some Go, and supports its open source SDK. Remote in the USA.</t>
        </is>
      </c>
      <c r="U28" s="3" t="inlineStr">
        <is>
          <t>Ashby</t>
        </is>
      </c>
      <c r="V28" s="3" t="inlineStr">
        <is>
          <t>2026-10-09</t>
        </is>
      </c>
      <c r="W28" s="6" t="n">
        <v>46316</v>
      </c>
      <c r="X28" s="6" t="n"/>
      <c r="Y28" s="3" t="n"/>
      <c r="Z28" s="3" t="n"/>
      <c r="AA28" s="3" t="n"/>
      <c r="AB28" s="6" t="n"/>
      <c r="AC28" s="3" t="n"/>
    </row>
    <row r="29">
      <c r="A29" s="2" t="n">
        <v>28</v>
      </c>
      <c r="B29" s="2" t="n">
        <v>64</v>
      </c>
      <c r="C29" s="3" t="inlineStr">
        <is>
          <t>New</t>
        </is>
      </c>
      <c r="D29" s="4" t="inlineStr">
        <is>
          <t>Software Development Engineer I</t>
        </is>
      </c>
      <c r="E29" s="3" t="inlineStr">
        <is>
          <t>CLEAR</t>
        </is>
      </c>
      <c r="F29" s="3" t="inlineStr">
        <is>
          <t>Austin, TX</t>
        </is>
      </c>
      <c r="G29" s="3" t="inlineStr">
        <is>
          <t>On-site</t>
        </is>
      </c>
      <c r="H29" s="3" t="inlineStr">
        <is>
          <t>Full-time</t>
        </is>
      </c>
      <c r="I29" s="3" t="inlineStr">
        <is>
          <t>0-2 years of professional full-stack software engineering experience</t>
        </is>
      </c>
      <c r="J29" s="3" t="inlineStr">
        <is>
          <t>In range</t>
        </is>
      </c>
      <c r="K29" s="3" t="inlineStr">
        <is>
          <t>Not specified</t>
        </is>
      </c>
      <c r="L29" s="3" t="inlineStr">
        <is>
          <t>Not specified</t>
        </is>
      </c>
      <c r="M29" s="2" t="inlineStr"/>
      <c r="N29" s="2" t="inlineStr">
        <is>
          <t>Yes</t>
        </is>
      </c>
      <c r="O29" s="2" t="inlineStr"/>
      <c r="P29" s="3" t="inlineStr">
        <is>
          <t>Python, Java, TypeScript, React, AWS, Kubernetes</t>
        </is>
      </c>
      <c r="Q29" s="3" t="inlineStr">
        <is>
          <t>$105,000-$125,000</t>
        </is>
      </c>
      <c r="R29" s="3" t="inlineStr">
        <is>
          <t>None</t>
        </is>
      </c>
      <c r="S29" s="5" t="inlineStr">
        <is>
          <t>Open posting</t>
        </is>
      </c>
      <c r="T29" s="3" t="inlineStr">
        <is>
          <t>CLEAR is hiring an early-career full-stack engineer for its secure identity platform. The role is based in the Austin office five days a week.</t>
        </is>
      </c>
      <c r="U29" s="3" t="inlineStr">
        <is>
          <t>Greenhouse</t>
        </is>
      </c>
      <c r="V29" s="3" t="inlineStr">
        <is>
          <t>Not shown</t>
        </is>
      </c>
      <c r="W29" s="6" t="n">
        <v>46316</v>
      </c>
      <c r="X29" s="6" t="n"/>
      <c r="Y29" s="3" t="n"/>
      <c r="Z29" s="3" t="n"/>
      <c r="AA29" s="3" t="n"/>
      <c r="AB29" s="6" t="n"/>
      <c r="AC29" s="3" t="n"/>
    </row>
    <row r="30">
      <c r="A30" s="2" t="n">
        <v>29</v>
      </c>
      <c r="B30" s="2" t="n">
        <v>64</v>
      </c>
      <c r="C30" s="3" t="inlineStr">
        <is>
          <t>New</t>
        </is>
      </c>
      <c r="D30" s="4" t="inlineStr">
        <is>
          <t>Software Engineer II</t>
        </is>
      </c>
      <c r="E30" s="3" t="inlineStr">
        <is>
          <t>Frost Bank</t>
        </is>
      </c>
      <c r="F30" s="3" t="inlineStr">
        <is>
          <t>San Antonio, TX</t>
        </is>
      </c>
      <c r="G30" s="3" t="inlineStr">
        <is>
          <t>On-site</t>
        </is>
      </c>
      <c r="H30" s="3" t="inlineStr">
        <is>
          <t>Full-time</t>
        </is>
      </c>
      <c r="I30" s="3" t="inlineStr">
        <is>
          <t>Demonstrated ability to independently identify program issues and develop the appropriate solution, typically requiring at least 2 years of experience</t>
        </is>
      </c>
      <c r="J30" s="3" t="inlineStr">
        <is>
          <t>In range</t>
        </is>
      </c>
      <c r="K30" s="3" t="inlineStr">
        <is>
          <t>Bachelor's degree in Computer Science, Engineering, in a related field, or equivalent experience</t>
        </is>
      </c>
      <c r="L30" s="3" t="inlineStr">
        <is>
          <t>Degree or equivalent experience</t>
        </is>
      </c>
      <c r="M30" s="2" t="inlineStr"/>
      <c r="N30" s="2" t="inlineStr">
        <is>
          <t>Yes</t>
        </is>
      </c>
      <c r="O30" s="2" t="inlineStr"/>
      <c r="P30" s="3" t="inlineStr">
        <is>
          <t>Python and/or Java, API development, microservices</t>
        </is>
      </c>
      <c r="Q30" s="3" t="inlineStr">
        <is>
          <t>Not listed</t>
        </is>
      </c>
      <c r="R30" s="3" t="inlineStr">
        <is>
          <t>None</t>
        </is>
      </c>
      <c r="S30" s="5" t="inlineStr">
        <is>
          <t>Open posting</t>
        </is>
      </c>
      <c r="T30" s="3" t="inlineStr">
        <is>
          <t>Builds and supports banking software with Python and/or Java, including APIs and microservices, testing, and code reviews. Based at One Frost in San Antonio, with Houston, Fort Worth, Dallas, and Austin also listed.</t>
        </is>
      </c>
      <c r="U30" s="3" t="inlineStr">
        <is>
          <t>Workday (Frost Bank careers)</t>
        </is>
      </c>
      <c r="V30" s="3" t="inlineStr">
        <is>
          <t>2026-10-08</t>
        </is>
      </c>
      <c r="W30" s="6" t="n">
        <v>46316</v>
      </c>
      <c r="X30" s="6" t="n"/>
      <c r="Y30" s="3" t="n"/>
      <c r="Z30" s="3" t="n"/>
      <c r="AA30" s="3" t="n"/>
      <c r="AB30" s="6" t="n"/>
      <c r="AC30" s="3" t="n"/>
    </row>
    <row r="31">
      <c r="A31" s="2" t="n">
        <v>30</v>
      </c>
      <c r="B31" s="2" t="n">
        <v>64</v>
      </c>
      <c r="C31" s="3" t="inlineStr">
        <is>
          <t>New</t>
        </is>
      </c>
      <c r="D31" s="4" t="inlineStr">
        <is>
          <t>.NET Software Developer</t>
        </is>
      </c>
      <c r="E31" s="3" t="inlineStr">
        <is>
          <t>Taylor Corporation (Venture Solutions)</t>
        </is>
      </c>
      <c r="F31" s="3" t="inlineStr">
        <is>
          <t>Remote</t>
        </is>
      </c>
      <c r="G31" s="3" t="inlineStr">
        <is>
          <t>Remote</t>
        </is>
      </c>
      <c r="H31" s="3" t="inlineStr">
        <is>
          <t>Not specified</t>
        </is>
      </c>
      <c r="I31" s="3" t="inlineStr">
        <is>
          <t>2+ years (listed as Junior)</t>
        </is>
      </c>
      <c r="J31" s="3" t="inlineStr">
        <is>
          <t>In range</t>
        </is>
      </c>
      <c r="K31" s="3" t="inlineStr">
        <is>
          <t>Bachelor's degree in Computer Science or Information Technology, or equivalent experience</t>
        </is>
      </c>
      <c r="L31" s="3" t="inlineStr">
        <is>
          <t>Degree or equivalent experience</t>
        </is>
      </c>
      <c r="M31" s="2" t="inlineStr">
        <is>
          <t>Yes</t>
        </is>
      </c>
      <c r="N31" s="2" t="inlineStr"/>
      <c r="O31" s="2" t="inlineStr"/>
      <c r="P31" s="3" t="inlineStr">
        <is>
          <t>C#, .NET, SQL, Azure, Jira; VB6 and OpenText Exstream preferred</t>
        </is>
      </c>
      <c r="Q31" s="3" t="inlineStr">
        <is>
          <t>$65,000 - $75,000</t>
        </is>
      </c>
      <c r="R31" s="3" t="inlineStr">
        <is>
          <t>None; U.S. citizenship and federal background check required (FISMA)</t>
        </is>
      </c>
      <c r="S31" s="5" t="inlineStr">
        <is>
          <t>Open posting</t>
        </is>
      </c>
      <c r="T31" s="3" t="inlineStr">
        <is>
          <t>The developer maintains, tests, and integrates .NET applications that turn customer data into printed and digital documents, including ERP integrations and data validation. Listed as in-office or remote, hiring remotely from Arden Hills, MN, on a Pacific-time weekday schedule with occasional on-call.</t>
        </is>
      </c>
      <c r="U31" s="3" t="inlineStr">
        <is>
          <t>Built In</t>
        </is>
      </c>
      <c r="V31" s="3" t="inlineStr">
        <is>
          <t>2026-10-21 (posted an hour ago)</t>
        </is>
      </c>
      <c r="W31" s="6" t="n">
        <v>46316</v>
      </c>
      <c r="X31" s="6" t="n"/>
      <c r="Y31" s="3" t="n"/>
      <c r="Z31" s="3" t="n"/>
      <c r="AA31" s="3" t="n"/>
      <c r="AB31" s="6" t="n"/>
      <c r="AC31" s="3" t="n"/>
    </row>
    <row r="32">
      <c r="A32" s="2" t="n">
        <v>31</v>
      </c>
      <c r="B32" s="2" t="n">
        <v>64</v>
      </c>
      <c r="C32" s="3" t="inlineStr">
        <is>
          <t>New</t>
        </is>
      </c>
      <c r="D32" s="4" t="inlineStr">
        <is>
          <t>SW Engineer - Developer Systems Reliability Engineering</t>
        </is>
      </c>
      <c r="E32" s="3" t="inlineStr">
        <is>
          <t>Visa</t>
        </is>
      </c>
      <c r="F32" s="3" t="inlineStr">
        <is>
          <t>Austin, TX</t>
        </is>
      </c>
      <c r="G32" s="3" t="inlineStr">
        <is>
          <t>Hybrid</t>
        </is>
      </c>
      <c r="H32" s="3" t="inlineStr">
        <is>
          <t>Full-time</t>
        </is>
      </c>
      <c r="I32" s="3" t="inlineStr">
        <is>
          <t>Bachelor's degree, OR 3+ years of relevant work experience</t>
        </is>
      </c>
      <c r="J32" s="3" t="inlineStr">
        <is>
          <t>In range</t>
        </is>
      </c>
      <c r="K32" s="3" t="inlineStr">
        <is>
          <t>Bachelor's degree, OR 3+ years of relevant work experience</t>
        </is>
      </c>
      <c r="L32" s="3" t="inlineStr">
        <is>
          <t>Degree or equivalent experience</t>
        </is>
      </c>
      <c r="M32" s="2" t="inlineStr"/>
      <c r="N32" s="2" t="inlineStr">
        <is>
          <t>Yes</t>
        </is>
      </c>
      <c r="O32" s="2" t="inlineStr"/>
      <c r="P32" s="3" t="inlineStr">
        <is>
          <t>Python, JavaScript, SQL, Jenkins, GitHub, Azure DevOps, Grafana, Splunk</t>
        </is>
      </c>
      <c r="Q32" s="3" t="inlineStr">
        <is>
          <t>$88,000-$136,900</t>
        </is>
      </c>
      <c r="R32" s="3" t="inlineStr">
        <is>
          <t>None</t>
        </is>
      </c>
      <c r="S32" s="5" t="inlineStr">
        <is>
          <t>Open posting</t>
        </is>
      </c>
      <c r="T32" s="3" t="inlineStr">
        <is>
          <t>This role keeps Visa's developer tooling, such as CI/CD and observability systems, reliable. It suits someone with IT operations and automation experience.</t>
        </is>
      </c>
      <c r="U32" s="3" t="inlineStr">
        <is>
          <t>Workday</t>
        </is>
      </c>
      <c r="V32" s="3" t="inlineStr">
        <is>
          <t>2026-07-24</t>
        </is>
      </c>
      <c r="W32" s="6" t="n">
        <v>46316</v>
      </c>
      <c r="X32" s="6" t="n"/>
      <c r="Y32" s="3" t="n"/>
      <c r="Z32" s="3" t="n"/>
      <c r="AA32" s="3" t="n"/>
      <c r="AB32" s="6" t="n"/>
      <c r="AC32" s="3" t="n"/>
    </row>
    <row r="33">
      <c r="A33" s="2" t="n">
        <v>32</v>
      </c>
      <c r="B33" s="2" t="n">
        <v>62</v>
      </c>
      <c r="C33" s="3" t="inlineStr">
        <is>
          <t>New</t>
        </is>
      </c>
      <c r="D33" s="4" t="inlineStr">
        <is>
          <t>Software Developer (Early Career)</t>
        </is>
      </c>
      <c r="E33" s="3" t="inlineStr">
        <is>
          <t>BMO</t>
        </is>
      </c>
      <c r="F33" s="3" t="inlineStr">
        <is>
          <t>Irving, TX</t>
        </is>
      </c>
      <c r="G33" s="3" t="inlineStr">
        <is>
          <t>On-site</t>
        </is>
      </c>
      <c r="H33" s="3" t="inlineStr">
        <is>
          <t>Full-time</t>
        </is>
      </c>
      <c r="I33" s="3" t="inlineStr">
        <is>
          <t>1 to 3 years of software development experience (including internships, co-op programs, personal projects, or professional experience)</t>
        </is>
      </c>
      <c r="J33" s="3" t="inlineStr">
        <is>
          <t>In range</t>
        </is>
      </c>
      <c r="K33" s="3" t="inlineStr">
        <is>
          <t>Bachelor's degree in Computer Science, Software Engineering, Information Systems, or a related field, or equivalent practical experience</t>
        </is>
      </c>
      <c r="L33" s="3" t="inlineStr">
        <is>
          <t>Degree or equivalent experience</t>
        </is>
      </c>
      <c r="M33" s="2" t="inlineStr"/>
      <c r="N33" s="2" t="inlineStr">
        <is>
          <t>Yes</t>
        </is>
      </c>
      <c r="O33" s="2" t="inlineStr"/>
      <c r="P33" s="3" t="inlineStr">
        <is>
          <t>Python, Java, Spring Boot, Angular, TypeScript, AWS, REST APIs, microservices</t>
        </is>
      </c>
      <c r="Q33" s="3" t="inlineStr">
        <is>
          <t>$55,000 - $120,000</t>
        </is>
      </c>
      <c r="R33" s="3" t="inlineStr">
        <is>
          <t>None</t>
        </is>
      </c>
      <c r="S33" s="5" t="inlineStr">
        <is>
          <t>Open posting</t>
        </is>
      </c>
      <c r="T33" s="3" t="inlineStr">
        <is>
          <t>Junior developer who builds, tests and supports applications with Angular, Spring Boot, Java and Python and deploys them on AWS. Works with business and technology teams and uses AI-assisted coding tools.</t>
        </is>
      </c>
      <c r="U33" s="3" t="inlineStr">
        <is>
          <t>Workday</t>
        </is>
      </c>
      <c r="V33" s="3" t="inlineStr">
        <is>
          <t>2026-10-08 (application deadline 2026-10-24)</t>
        </is>
      </c>
      <c r="W33" s="6" t="n">
        <v>46316</v>
      </c>
      <c r="X33" s="6" t="n"/>
      <c r="Y33" s="3" t="n"/>
      <c r="Z33" s="3" t="n"/>
      <c r="AA33" s="3" t="n"/>
      <c r="AB33" s="6" t="n"/>
      <c r="AC33" s="3" t="n"/>
    </row>
    <row r="34">
      <c r="A34" s="2" t="n">
        <v>33</v>
      </c>
      <c r="B34" s="2" t="n">
        <v>61</v>
      </c>
      <c r="C34" s="3" t="inlineStr">
        <is>
          <t>New</t>
        </is>
      </c>
      <c r="D34" s="4" t="inlineStr">
        <is>
          <t>Python Engineer</t>
        </is>
      </c>
      <c r="E34" s="3" t="inlineStr">
        <is>
          <t>Citi</t>
        </is>
      </c>
      <c r="F34" s="3" t="inlineStr">
        <is>
          <t>Irving, TX</t>
        </is>
      </c>
      <c r="G34" s="3" t="inlineStr">
        <is>
          <t>Hybrid</t>
        </is>
      </c>
      <c r="H34" s="3" t="inlineStr">
        <is>
          <t>Full-time</t>
        </is>
      </c>
      <c r="I34" s="3" t="inlineStr">
        <is>
          <t>2+ years of experience in software development</t>
        </is>
      </c>
      <c r="J34" s="3" t="inlineStr">
        <is>
          <t>In range</t>
        </is>
      </c>
      <c r="K34" s="3" t="inlineStr">
        <is>
          <t>Not specified</t>
        </is>
      </c>
      <c r="L34" s="3" t="inlineStr">
        <is>
          <t>Not specified</t>
        </is>
      </c>
      <c r="M34" s="2" t="inlineStr"/>
      <c r="N34" s="2" t="inlineStr">
        <is>
          <t>Yes</t>
        </is>
      </c>
      <c r="O34" s="2" t="inlineStr"/>
      <c r="P34" s="3" t="inlineStr">
        <is>
          <t>Python, REST APIs, backend services, SQL, AWS/Azure</t>
        </is>
      </c>
      <c r="Q34" s="3" t="inlineStr">
        <is>
          <t>$84,580 - $118,020</t>
        </is>
      </c>
      <c r="R34" s="3" t="inlineStr">
        <is>
          <t>None</t>
        </is>
      </c>
      <c r="S34" s="5" t="inlineStr">
        <is>
          <t>Open posting</t>
        </is>
      </c>
      <c r="T34" s="3" t="inlineStr">
        <is>
          <t>Early-career engineer building, testing and maintaining Python-based backend services and REST APIs with an experienced team. Hybrid with 3 days in the office.</t>
        </is>
      </c>
      <c r="U34" s="3" t="inlineStr">
        <is>
          <t>Workday</t>
        </is>
      </c>
      <c r="V34" s="3" t="inlineStr">
        <is>
          <t>2026-10-16</t>
        </is>
      </c>
      <c r="W34" s="6" t="n">
        <v>46316</v>
      </c>
      <c r="X34" s="6" t="n"/>
      <c r="Y34" s="3" t="n"/>
      <c r="Z34" s="3" t="n"/>
      <c r="AA34" s="3" t="n"/>
      <c r="AB34" s="6" t="n"/>
      <c r="AC34" s="3" t="n"/>
    </row>
    <row r="35">
      <c r="A35" s="2" t="n">
        <v>34</v>
      </c>
      <c r="B35" s="2" t="n">
        <v>61</v>
      </c>
      <c r="C35" s="3" t="inlineStr">
        <is>
          <t>New</t>
        </is>
      </c>
      <c r="D35" s="4" t="inlineStr">
        <is>
          <t>Application Developer</t>
        </is>
      </c>
      <c r="E35" s="3" t="inlineStr">
        <is>
          <t>SWBC</t>
        </is>
      </c>
      <c r="F35" s="3" t="inlineStr">
        <is>
          <t>San Antonio, TX</t>
        </is>
      </c>
      <c r="G35" s="3" t="inlineStr">
        <is>
          <t>On-site</t>
        </is>
      </c>
      <c r="H35" s="3" t="inlineStr">
        <is>
          <t>Full-time</t>
        </is>
      </c>
      <c r="I35" s="3" t="inlineStr">
        <is>
          <t>Minimum three (3) years of professional software development experience</t>
        </is>
      </c>
      <c r="J35" s="3" t="inlineStr">
        <is>
          <t>In range</t>
        </is>
      </c>
      <c r="K35" s="3" t="inlineStr">
        <is>
          <t>Bachelor's degree from an accredited four-year college or university, or equivalent professional experience</t>
        </is>
      </c>
      <c r="L35" s="3" t="inlineStr">
        <is>
          <t>Degree or equivalent experience</t>
        </is>
      </c>
      <c r="M35" s="2" t="inlineStr">
        <is>
          <t>Yes</t>
        </is>
      </c>
      <c r="N35" s="2" t="inlineStr"/>
      <c r="O35" s="2" t="inlineStr"/>
      <c r="P35" s="3" t="inlineStr">
        <is>
          <t>C#, .NET, JavaScript, jQuery, Angular/React, T-SQL, HTML, CSS</t>
        </is>
      </c>
      <c r="Q35" s="3" t="inlineStr">
        <is>
          <t>Not listed</t>
        </is>
      </c>
      <c r="R35" s="3" t="inlineStr">
        <is>
          <t>None</t>
        </is>
      </c>
      <c r="S35" s="5" t="inlineStr">
        <is>
          <t>Open posting</t>
        </is>
      </c>
      <c r="T35" s="3" t="inlineStr">
        <is>
          <t>Develops and maintains SWBC's customer-facing applications and core internal integrations. Works in self-organized teams that support a broad product portfolio for partners and employees.</t>
        </is>
      </c>
      <c r="U35" s="3" t="inlineStr">
        <is>
          <t>Workday (SWBC careers)</t>
        </is>
      </c>
      <c r="V35" s="3" t="inlineStr">
        <is>
          <t>2026-05-26</t>
        </is>
      </c>
      <c r="W35" s="6" t="n">
        <v>46316</v>
      </c>
      <c r="X35" s="6" t="n"/>
      <c r="Y35" s="3" t="n"/>
      <c r="Z35" s="3" t="n"/>
      <c r="AA35" s="3" t="n"/>
      <c r="AB35" s="6" t="n"/>
      <c r="AC35" s="3" t="n"/>
    </row>
    <row r="36">
      <c r="A36" s="2" t="n">
        <v>35</v>
      </c>
      <c r="B36" s="2" t="n">
        <v>61</v>
      </c>
      <c r="C36" s="3" t="inlineStr">
        <is>
          <t>New</t>
        </is>
      </c>
      <c r="D36" s="4" t="inlineStr">
        <is>
          <t>Software Engineer - Operations and Infrastructure</t>
        </is>
      </c>
      <c r="E36" s="3" t="inlineStr">
        <is>
          <t>Visa</t>
        </is>
      </c>
      <c r="F36" s="3" t="inlineStr">
        <is>
          <t>Austin, TX</t>
        </is>
      </c>
      <c r="G36" s="3" t="inlineStr">
        <is>
          <t>Hybrid</t>
        </is>
      </c>
      <c r="H36" s="3" t="inlineStr">
        <is>
          <t>Full-time</t>
        </is>
      </c>
      <c r="I36" s="3" t="inlineStr">
        <is>
          <t>Bachelor's degree, OR 3+ years of relevant work experience; preferred 1-2 years of relevant work experience</t>
        </is>
      </c>
      <c r="J36" s="3" t="inlineStr">
        <is>
          <t>In range</t>
        </is>
      </c>
      <c r="K36" s="3" t="inlineStr">
        <is>
          <t>Bachelor's degree, OR 3+ years of relevant work experience</t>
        </is>
      </c>
      <c r="L36" s="3" t="inlineStr">
        <is>
          <t>Degree or equivalent experience</t>
        </is>
      </c>
      <c r="M36" s="2" t="inlineStr"/>
      <c r="N36" s="2" t="inlineStr">
        <is>
          <t>Yes</t>
        </is>
      </c>
      <c r="O36" s="2" t="inlineStr"/>
      <c r="P36" s="3" t="inlineStr">
        <is>
          <t>Python, TypeScript, JavaScript, React, Node, AWS/Azure/GCP</t>
        </is>
      </c>
      <c r="Q36" s="3" t="inlineStr">
        <is>
          <t>Not listed</t>
        </is>
      </c>
      <c r="R36" s="3" t="inlineStr">
        <is>
          <t>None</t>
        </is>
      </c>
      <c r="S36" s="5" t="inlineStr">
        <is>
          <t>Open posting</t>
        </is>
      </c>
      <c r="T36" s="3" t="inlineStr">
        <is>
          <t>This Visa engineer builds tools and automation for operations and infrastructure teams. The preferred background is one to two years of experience.</t>
        </is>
      </c>
      <c r="U36" s="3" t="inlineStr">
        <is>
          <t>Workday</t>
        </is>
      </c>
      <c r="V36" s="3" t="inlineStr">
        <is>
          <t>2026-10-06</t>
        </is>
      </c>
      <c r="W36" s="6" t="n">
        <v>46316</v>
      </c>
      <c r="X36" s="6" t="n"/>
      <c r="Y36" s="3" t="n"/>
      <c r="Z36" s="3" t="n"/>
      <c r="AA36" s="3" t="n"/>
      <c r="AB36" s="6" t="n"/>
      <c r="AC36" s="3" t="n"/>
    </row>
    <row r="37">
      <c r="A37" s="2" t="n">
        <v>36</v>
      </c>
      <c r="B37" s="2" t="n">
        <v>60</v>
      </c>
      <c r="C37" s="3" t="inlineStr">
        <is>
          <t>New</t>
        </is>
      </c>
      <c r="D37" s="4" t="inlineStr">
        <is>
          <t>Mid-Level Software Engineer - UI/API Application Development</t>
        </is>
      </c>
      <c r="E37" s="3" t="inlineStr">
        <is>
          <t>USAA</t>
        </is>
      </c>
      <c r="F37" s="3" t="inlineStr">
        <is>
          <t>San Antonio, TX</t>
        </is>
      </c>
      <c r="G37" s="3" t="inlineStr">
        <is>
          <t>Hybrid</t>
        </is>
      </c>
      <c r="H37" s="3" t="inlineStr">
        <is>
          <t>Full-time</t>
        </is>
      </c>
      <c r="I37" s="3" t="inlineStr">
        <is>
          <t>4 years of software development experience; 2 years of experience delivering technology solutions in all phases of the software lifecycle</t>
        </is>
      </c>
      <c r="J37" s="3" t="inlineStr">
        <is>
          <t>Above target</t>
        </is>
      </c>
      <c r="K37" s="3" t="inlineStr">
        <is>
          <t>Bachelor's degree; OR 4 years of relevant education and/or experience</t>
        </is>
      </c>
      <c r="L37" s="3" t="inlineStr">
        <is>
          <t>Degree or equivalent experience</t>
        </is>
      </c>
      <c r="M37" s="2" t="inlineStr"/>
      <c r="N37" s="2" t="inlineStr">
        <is>
          <t>Yes</t>
        </is>
      </c>
      <c r="O37" s="2" t="inlineStr">
        <is>
          <t>Yes</t>
        </is>
      </c>
      <c r="P37" s="3" t="inlineStr">
        <is>
          <t>Java, JavaScript, Go, Python, Spring Boot, React, REST APIs, SQL, Kafka, OpenShift, AWS, mainframe (COBOL, PL/I, CICS, DB2)</t>
        </is>
      </c>
      <c r="Q37" s="3" t="inlineStr">
        <is>
          <t>$93,770 - $179,240</t>
        </is>
      </c>
      <c r="R37" s="3" t="inlineStr">
        <is>
          <t>None</t>
        </is>
      </c>
      <c r="S37" s="5" t="inlineStr">
        <is>
          <t>Open posting</t>
        </is>
      </c>
      <c r="T37" s="3" t="inlineStr">
        <is>
          <t>Mid-level role on the same Property Core Platform modernization effort, building and supporting applications that span mainframe and cloud. In the office 4 days per week; the posting's end date is 2026-10-24.</t>
        </is>
      </c>
      <c r="U37" s="3" t="inlineStr">
        <is>
          <t>Workday (USAA careers)</t>
        </is>
      </c>
      <c r="V37" s="3" t="inlineStr">
        <is>
          <t>2026-10-20</t>
        </is>
      </c>
      <c r="W37" s="6" t="n">
        <v>46316</v>
      </c>
      <c r="X37" s="6" t="n"/>
      <c r="Y37" s="3" t="n"/>
      <c r="Z37" s="3" t="n"/>
      <c r="AA37" s="3" t="n"/>
      <c r="AB37" s="6" t="n"/>
      <c r="AC37" s="3" t="n"/>
    </row>
    <row r="38">
      <c r="A38" s="2" t="n">
        <v>37</v>
      </c>
      <c r="B38" s="2" t="n">
        <v>59</v>
      </c>
      <c r="C38" s="3" t="inlineStr">
        <is>
          <t>New</t>
        </is>
      </c>
      <c r="D38" s="4" t="inlineStr">
        <is>
          <t>Software Engineer II, Backend (Decisions Orchestration)</t>
        </is>
      </c>
      <c r="E38" s="3" t="inlineStr">
        <is>
          <t>Affirm</t>
        </is>
      </c>
      <c r="F38" s="3" t="inlineStr">
        <is>
          <t>Remote</t>
        </is>
      </c>
      <c r="G38" s="3" t="inlineStr">
        <is>
          <t>Remote</t>
        </is>
      </c>
      <c r="H38" s="3" t="inlineStr">
        <is>
          <t>Not specified</t>
        </is>
      </c>
      <c r="I38" s="3" t="inlineStr">
        <is>
          <t>Not specified</t>
        </is>
      </c>
      <c r="J38" s="3" t="inlineStr">
        <is>
          <t>Not specified</t>
        </is>
      </c>
      <c r="K38" s="3" t="inlineStr">
        <is>
          <t>Either equivalent practical experience or a Bachelor's degree in a related field</t>
        </is>
      </c>
      <c r="L38" s="3" t="inlineStr">
        <is>
          <t>Degree or equivalent experience</t>
        </is>
      </c>
      <c r="M38" s="2" t="inlineStr"/>
      <c r="N38" s="2" t="inlineStr">
        <is>
          <t>Yes</t>
        </is>
      </c>
      <c r="O38" s="2" t="inlineStr"/>
      <c r="P38" s="3" t="inlineStr">
        <is>
          <t>Python, Kotlin, RPC, Redis, MySQL, AWS</t>
        </is>
      </c>
      <c r="Q38" s="3" t="inlineStr">
        <is>
          <t>$146,000 - $206,000 (all other U.S. states); $165,000 - $225,000 (CA, WA, NY, NJ, CT)</t>
        </is>
      </c>
      <c r="R38" s="3" t="inlineStr">
        <is>
          <t>None</t>
        </is>
      </c>
      <c r="S38" s="5" t="inlineStr">
        <is>
          <t>Open posting</t>
        </is>
      </c>
      <c r="T38" s="3" t="inlineStr">
        <is>
          <t>The backend engineer helps build the next generation of Affirm's checkout platform, owning components of the checkout and decisioning systems. Remote from almost anywhere in the US.</t>
        </is>
      </c>
      <c r="U38" s="3" t="inlineStr">
        <is>
          <t>Greenhouse</t>
        </is>
      </c>
      <c r="V38" s="3" t="inlineStr">
        <is>
          <t>Not shown</t>
        </is>
      </c>
      <c r="W38" s="6" t="n">
        <v>46316</v>
      </c>
      <c r="X38" s="6" t="n"/>
      <c r="Y38" s="3" t="n"/>
      <c r="Z38" s="3" t="n"/>
      <c r="AA38" s="3" t="n"/>
      <c r="AB38" s="6" t="n"/>
      <c r="AC38" s="3" t="n"/>
    </row>
    <row r="39">
      <c r="A39" s="2" t="n">
        <v>38</v>
      </c>
      <c r="B39" s="2" t="n">
        <v>59</v>
      </c>
      <c r="C39" s="3" t="inlineStr">
        <is>
          <t>New</t>
        </is>
      </c>
      <c r="D39" s="4" t="inlineStr">
        <is>
          <t>Software Engineer - Enterprise Applications</t>
        </is>
      </c>
      <c r="E39" s="3" t="inlineStr">
        <is>
          <t>Allen Control Systems</t>
        </is>
      </c>
      <c r="F39" s="3" t="inlineStr">
        <is>
          <t>Austin, TX</t>
        </is>
      </c>
      <c r="G39" s="3" t="inlineStr">
        <is>
          <t>On-site</t>
        </is>
      </c>
      <c r="H39" s="3" t="inlineStr">
        <is>
          <t>Full-time</t>
        </is>
      </c>
      <c r="I39" s="3" t="inlineStr">
        <is>
          <t>2-4 years of professional software development experience</t>
        </is>
      </c>
      <c r="J39" s="3" t="inlineStr">
        <is>
          <t>In range</t>
        </is>
      </c>
      <c r="K39" s="3" t="inlineStr">
        <is>
          <t>Bachelor's degree in Computer Science, Software Engineering, Information Systems, or a related technical field, or equivalent experience</t>
        </is>
      </c>
      <c r="L39" s="3" t="inlineStr">
        <is>
          <t>Degree or equivalent experience</t>
        </is>
      </c>
      <c r="M39" s="2" t="inlineStr"/>
      <c r="N39" s="2" t="inlineStr">
        <is>
          <t>Yes</t>
        </is>
      </c>
      <c r="O39" s="2" t="inlineStr"/>
      <c r="P39" s="3" t="inlineStr">
        <is>
          <t>Python, Java, TypeScript, React, SQL, AWS/Azure/GCP</t>
        </is>
      </c>
      <c r="Q39" s="3" t="inlineStr">
        <is>
          <t>Not listed</t>
        </is>
      </c>
      <c r="R39" s="3" t="inlineStr">
        <is>
          <t>None stated (defense company)</t>
        </is>
      </c>
      <c r="S39" s="5" t="inlineStr">
        <is>
          <t>Open posting</t>
        </is>
      </c>
      <c r="T39" s="3" t="inlineStr">
        <is>
          <t>Allen Control Systems, founded by two Navy veterans, builds the Bullfrog counter-drone system. This role builds internal business applications as the company grows.</t>
        </is>
      </c>
      <c r="U39" s="3" t="inlineStr">
        <is>
          <t>Ashby</t>
        </is>
      </c>
      <c r="V39" s="3" t="inlineStr">
        <is>
          <t>2026-09-17</t>
        </is>
      </c>
      <c r="W39" s="6" t="n">
        <v>46316</v>
      </c>
      <c r="X39" s="6" t="n"/>
      <c r="Y39" s="3" t="n"/>
      <c r="Z39" s="3" t="n"/>
      <c r="AA39" s="3" t="n"/>
      <c r="AB39" s="6" t="n"/>
      <c r="AC39" s="3" t="n"/>
    </row>
    <row r="40">
      <c r="A40" s="2" t="n">
        <v>39</v>
      </c>
      <c r="B40" s="2" t="n">
        <v>59</v>
      </c>
      <c r="C40" s="3" t="inlineStr">
        <is>
          <t>New</t>
        </is>
      </c>
      <c r="D40" s="4" t="inlineStr">
        <is>
          <t>Software Engineer III (AI/ML)</t>
        </is>
      </c>
      <c r="E40" s="3" t="inlineStr">
        <is>
          <t>Bank of America</t>
        </is>
      </c>
      <c r="F40" s="3" t="inlineStr">
        <is>
          <t>Plano, TX</t>
        </is>
      </c>
      <c r="G40" s="3" t="inlineStr">
        <is>
          <t>On-site</t>
        </is>
      </c>
      <c r="H40" s="3" t="inlineStr">
        <is>
          <t>Full-time</t>
        </is>
      </c>
      <c r="I40" s="3" t="inlineStr">
        <is>
          <t>3+ years of software development experience using Java, Python, or related technologies</t>
        </is>
      </c>
      <c r="J40" s="3" t="inlineStr">
        <is>
          <t>In range</t>
        </is>
      </c>
      <c r="K40" s="3" t="inlineStr">
        <is>
          <t>Bachelor's or Master's Degree in Computer Science, Engineering, Information Systems, or a related field or equivalent experience</t>
        </is>
      </c>
      <c r="L40" s="3" t="inlineStr">
        <is>
          <t>Degree or equivalent experience</t>
        </is>
      </c>
      <c r="M40" s="2" t="inlineStr"/>
      <c r="N40" s="2" t="inlineStr">
        <is>
          <t>Yes</t>
        </is>
      </c>
      <c r="O40" s="2" t="inlineStr"/>
      <c r="P40" s="3" t="inlineStr">
        <is>
          <t>Java, Python, REST APIs, Generative AI, RAG, Azure or AWS, Cassandra, Redis</t>
        </is>
      </c>
      <c r="Q40" s="3" t="inlineStr">
        <is>
          <t>Not listed</t>
        </is>
      </c>
      <c r="R40" s="3" t="inlineStr">
        <is>
          <t>None</t>
        </is>
      </c>
      <c r="S40" s="5" t="inlineStr">
        <is>
          <t>Open posting</t>
        </is>
      </c>
      <c r="T40" s="3" t="inlineStr">
        <is>
          <t>Joins the team behind Erica, the bank's virtual assistant, building AI, search and conversational platforms. Codes, tests and supports AI-powered applications, including generative AI and RAG features.</t>
        </is>
      </c>
      <c r="U40" s="3" t="inlineStr">
        <is>
          <t>Workday (Bank of America careers)</t>
        </is>
      </c>
      <c r="V40" s="3" t="inlineStr">
        <is>
          <t>2026-09-28</t>
        </is>
      </c>
      <c r="W40" s="6" t="n">
        <v>46316</v>
      </c>
      <c r="X40" s="6" t="n"/>
      <c r="Y40" s="3" t="n"/>
      <c r="Z40" s="3" t="n"/>
      <c r="AA40" s="3" t="n"/>
      <c r="AB40" s="6" t="n"/>
      <c r="AC40" s="3" t="n"/>
    </row>
    <row r="41">
      <c r="A41" s="2" t="n">
        <v>40</v>
      </c>
      <c r="B41" s="2" t="n">
        <v>59</v>
      </c>
      <c r="C41" s="3" t="inlineStr">
        <is>
          <t>New</t>
        </is>
      </c>
      <c r="D41" s="4" t="inlineStr">
        <is>
          <t>Software Engineer - Python - Cloud - graduate level</t>
        </is>
      </c>
      <c r="E41" s="3" t="inlineStr">
        <is>
          <t>Canonical</t>
        </is>
      </c>
      <c r="F41" s="3" t="inlineStr">
        <is>
          <t>Remote</t>
        </is>
      </c>
      <c r="G41" s="3" t="inlineStr">
        <is>
          <t>Remote</t>
        </is>
      </c>
      <c r="H41" s="3" t="inlineStr">
        <is>
          <t>Not specified</t>
        </is>
      </c>
      <c r="I41" s="3" t="inlineStr">
        <is>
          <t>Graduate level; 'extensive experience with Python on Linux'</t>
        </is>
      </c>
      <c r="J41" s="3" t="inlineStr">
        <is>
          <t>In range</t>
        </is>
      </c>
      <c r="K41" s="3" t="inlineStr">
        <is>
          <t>Bachelor's or equivalent in Computer Science, STEM or similar degree</t>
        </is>
      </c>
      <c r="L41" s="3" t="inlineStr">
        <is>
          <t>Degree or equivalent experience</t>
        </is>
      </c>
      <c r="M41" s="2" t="inlineStr"/>
      <c r="N41" s="2" t="inlineStr">
        <is>
          <t>Yes</t>
        </is>
      </c>
      <c r="O41" s="2" t="inlineStr"/>
      <c r="P41" s="3" t="inlineStr">
        <is>
          <t>Python, Linux, public cloud</t>
        </is>
      </c>
      <c r="Q41" s="3" t="inlineStr">
        <is>
          <t>Not listed</t>
        </is>
      </c>
      <c r="R41" s="3" t="inlineStr">
        <is>
          <t>None</t>
        </is>
      </c>
      <c r="S41" s="5" t="inlineStr">
        <is>
          <t>Open posting</t>
        </is>
      </c>
      <c r="T41" s="3" t="inlineStr">
        <is>
          <t>The engineer writes Python tooling that keeps Ubuntu working across public clouds and a wide range of releases and environments. Home based in the Americas.</t>
        </is>
      </c>
      <c r="U41" s="3" t="inlineStr">
        <is>
          <t>Greenhouse</t>
        </is>
      </c>
      <c r="V41" s="3" t="inlineStr">
        <is>
          <t>Not shown</t>
        </is>
      </c>
      <c r="W41" s="6" t="n">
        <v>46316</v>
      </c>
      <c r="X41" s="6" t="n"/>
      <c r="Y41" s="3" t="n"/>
      <c r="Z41" s="3" t="n"/>
      <c r="AA41" s="3" t="n"/>
      <c r="AB41" s="6" t="n"/>
      <c r="AC41" s="3" t="n"/>
    </row>
    <row r="42">
      <c r="A42" s="2" t="n">
        <v>41</v>
      </c>
      <c r="B42" s="2" t="n">
        <v>59</v>
      </c>
      <c r="C42" s="3" t="inlineStr">
        <is>
          <t>New</t>
        </is>
      </c>
      <c r="D42" s="4" t="inlineStr">
        <is>
          <t>Software Engineer, Platform Access (L2)</t>
        </is>
      </c>
      <c r="E42" s="3" t="inlineStr">
        <is>
          <t>Twilio</t>
        </is>
      </c>
      <c r="F42" s="3" t="inlineStr">
        <is>
          <t>Remote</t>
        </is>
      </c>
      <c r="G42" s="3" t="inlineStr">
        <is>
          <t>Remote</t>
        </is>
      </c>
      <c r="H42" s="3" t="inlineStr">
        <is>
          <t>Not specified</t>
        </is>
      </c>
      <c r="I42" s="3" t="inlineStr">
        <is>
          <t>1-2+ years of professional software engineering or DevOps/Platform engineering experience</t>
        </is>
      </c>
      <c r="J42" s="3" t="inlineStr">
        <is>
          <t>In range</t>
        </is>
      </c>
      <c r="K42" s="3" t="inlineStr">
        <is>
          <t>Not specified</t>
        </is>
      </c>
      <c r="L42" s="3" t="inlineStr">
        <is>
          <t>Not specified</t>
        </is>
      </c>
      <c r="M42" s="2" t="inlineStr"/>
      <c r="N42" s="2" t="inlineStr"/>
      <c r="O42" s="2" t="inlineStr">
        <is>
          <t>Yes</t>
        </is>
      </c>
      <c r="P42" s="3" t="inlineStr">
        <is>
          <t>Go (Golang), Shell, Terraform, YAML, AWS, Azure, GCP</t>
        </is>
      </c>
      <c r="Q42" s="3" t="inlineStr">
        <is>
          <t>$116,960 - $146,200 (CO, HI, IL, MD, MA, MN, VT, DC); other states not listed</t>
        </is>
      </c>
      <c r="R42" s="3" t="inlineStr">
        <is>
          <t>None</t>
        </is>
      </c>
      <c r="S42" s="5" t="inlineStr">
        <is>
          <t>Open posting</t>
        </is>
      </c>
      <c r="T42" s="3" t="inlineStr">
        <is>
          <t>The engineer builds self-service, developer-friendly platform tooling for access and security across Twilio's cloud environments. Remote in the US but not eligible to be hired in CA, CT, NJ, NY, PA, or WA, so Texas is allowed.</t>
        </is>
      </c>
      <c r="U42" s="3" t="inlineStr">
        <is>
          <t>Greenhouse</t>
        </is>
      </c>
      <c r="V42" s="3" t="inlineStr">
        <is>
          <t>Not shown; applications accepted until 10/31/2026</t>
        </is>
      </c>
      <c r="W42" s="6" t="n">
        <v>46316</v>
      </c>
      <c r="X42" s="6" t="n"/>
      <c r="Y42" s="3" t="n"/>
      <c r="Z42" s="3" t="n"/>
      <c r="AA42" s="3" t="n"/>
      <c r="AB42" s="6" t="n"/>
      <c r="AC42" s="3" t="n"/>
    </row>
    <row r="43">
      <c r="A43" s="2" t="n">
        <v>42</v>
      </c>
      <c r="B43" s="2" t="n">
        <v>59</v>
      </c>
      <c r="C43" s="3" t="inlineStr">
        <is>
          <t>New</t>
        </is>
      </c>
      <c r="D43" s="4" t="inlineStr">
        <is>
          <t>Software Engineer, Platform Engineering (L2)</t>
        </is>
      </c>
      <c r="E43" s="3" t="inlineStr">
        <is>
          <t>Twilio</t>
        </is>
      </c>
      <c r="F43" s="3" t="inlineStr">
        <is>
          <t>Remote</t>
        </is>
      </c>
      <c r="G43" s="3" t="inlineStr">
        <is>
          <t>Remote</t>
        </is>
      </c>
      <c r="H43" s="3" t="inlineStr">
        <is>
          <t>Not specified</t>
        </is>
      </c>
      <c r="I43" s="3" t="inlineStr">
        <is>
          <t>1-2+ years of professional software engineering experience</t>
        </is>
      </c>
      <c r="J43" s="3" t="inlineStr">
        <is>
          <t>In range</t>
        </is>
      </c>
      <c r="K43" s="3" t="inlineStr">
        <is>
          <t>Not specified</t>
        </is>
      </c>
      <c r="L43" s="3" t="inlineStr">
        <is>
          <t>Not specified</t>
        </is>
      </c>
      <c r="M43" s="2" t="inlineStr"/>
      <c r="N43" s="2" t="inlineStr"/>
      <c r="O43" s="2" t="inlineStr">
        <is>
          <t>Yes</t>
        </is>
      </c>
      <c r="P43" s="3" t="inlineStr">
        <is>
          <t>Go (Golang), Shell, Terraform, YAML, cloud infrastructure</t>
        </is>
      </c>
      <c r="Q43" s="3" t="inlineStr">
        <is>
          <t>$116,960 - $146,200 (CO, HI, IL, MD, MA, MN, VT, DC); other states not listed</t>
        </is>
      </c>
      <c r="R43" s="3" t="inlineStr">
        <is>
          <t>None</t>
        </is>
      </c>
      <c r="S43" s="5" t="inlineStr">
        <is>
          <t>Open posting</t>
        </is>
      </c>
      <c r="T43" s="3" t="inlineStr">
        <is>
          <t>The engineer helps build and operate the backend platform services and tooling that Twilio's engineering teams run on. Remote in the US but not eligible to be hired in CA, CT, NJ, NY, PA, or WA, so Texas is allowed.</t>
        </is>
      </c>
      <c r="U43" s="3" t="inlineStr">
        <is>
          <t>Greenhouse</t>
        </is>
      </c>
      <c r="V43" s="3" t="inlineStr">
        <is>
          <t>Not shown; applications accepted until 10/31/2026</t>
        </is>
      </c>
      <c r="W43" s="6" t="n">
        <v>46316</v>
      </c>
      <c r="X43" s="6" t="n"/>
      <c r="Y43" s="3" t="n"/>
      <c r="Z43" s="3" t="n"/>
      <c r="AA43" s="3" t="n"/>
      <c r="AB43" s="6" t="n"/>
      <c r="AC43" s="3" t="n"/>
    </row>
    <row r="44">
      <c r="A44" s="2" t="n">
        <v>43</v>
      </c>
      <c r="B44" s="2" t="n">
        <v>58</v>
      </c>
      <c r="C44" s="3" t="inlineStr">
        <is>
          <t>New</t>
        </is>
      </c>
      <c r="D44" s="4" t="inlineStr">
        <is>
          <t>Python Developer</t>
        </is>
      </c>
      <c r="E44" s="3" t="inlineStr">
        <is>
          <t>Leidos (Kudu Dynamics)</t>
        </is>
      </c>
      <c r="F44" s="3" t="inlineStr">
        <is>
          <t>San Antonio, TX</t>
        </is>
      </c>
      <c r="G44" s="3" t="inlineStr">
        <is>
          <t>On-site</t>
        </is>
      </c>
      <c r="H44" s="3" t="inlineStr">
        <is>
          <t>Full-time</t>
        </is>
      </c>
      <c r="I44" s="3" t="inlineStr">
        <is>
          <t>Four years of experience in a Python or Golang Development role</t>
        </is>
      </c>
      <c r="J44" s="3" t="inlineStr">
        <is>
          <t>Above target</t>
        </is>
      </c>
      <c r="K44" s="3" t="inlineStr">
        <is>
          <t>BS/MS (BA/MA) in a technical degree field, plus a minimum of 4 years directly related experience; in lieu of a degree, 10 years of directly related experience</t>
        </is>
      </c>
      <c r="L44" s="3" t="inlineStr">
        <is>
          <t>Degree or equivalent experience</t>
        </is>
      </c>
      <c r="M44" s="2" t="inlineStr"/>
      <c r="N44" s="2" t="inlineStr">
        <is>
          <t>Yes</t>
        </is>
      </c>
      <c r="O44" s="2" t="inlineStr">
        <is>
          <t>Yes</t>
        </is>
      </c>
      <c r="P44" s="3" t="inlineStr">
        <is>
          <t>Python, Golang, Bash/shell scripting</t>
        </is>
      </c>
      <c r="Q44" s="3" t="inlineStr">
        <is>
          <t>$107,900.00 - $195,050.00</t>
        </is>
      </c>
      <c r="R44" s="3" t="inlineStr">
        <is>
          <t>US Citizenship with TS/SCI and Counter-Intelligence Polygraph clearance</t>
        </is>
      </c>
      <c r="S44" s="5" t="inlineStr">
        <is>
          <t>Open posting</t>
        </is>
      </c>
      <c r="T44" s="3" t="inlineStr">
        <is>
          <t>Python or Go developer for Kudu Dynamics, a Leidos company that builds computer network operations capabilities. Listed for Chantilly, Columbia, Columbus, Boulder, and San Antonio; Leidos has several open requisitions for this same role.</t>
        </is>
      </c>
      <c r="U44" s="3" t="inlineStr">
        <is>
          <t>Workday (Leidos careers)</t>
        </is>
      </c>
      <c r="V44" s="3" t="inlineStr">
        <is>
          <t>2026-08-31</t>
        </is>
      </c>
      <c r="W44" s="6" t="n">
        <v>46316</v>
      </c>
      <c r="X44" s="6" t="n"/>
      <c r="Y44" s="3" t="n"/>
      <c r="Z44" s="3" t="n"/>
      <c r="AA44" s="3" t="n"/>
      <c r="AB44" s="6" t="n"/>
      <c r="AC44" s="3" t="n"/>
    </row>
    <row r="45">
      <c r="A45" s="2" t="n">
        <v>44</v>
      </c>
      <c r="B45" s="2" t="n">
        <v>58</v>
      </c>
      <c r="C45" s="3" t="inlineStr">
        <is>
          <t>New</t>
        </is>
      </c>
      <c r="D45" s="4" t="inlineStr">
        <is>
          <t>Software Engineer II -Algorithms (Onsite)</t>
        </is>
      </c>
      <c r="E45" s="3" t="inlineStr">
        <is>
          <t>Raytheon (RTX)</t>
        </is>
      </c>
      <c r="F45" s="3" t="inlineStr">
        <is>
          <t>Plano, TX</t>
        </is>
      </c>
      <c r="G45" s="3" t="inlineStr">
        <is>
          <t>On-site</t>
        </is>
      </c>
      <c r="H45" s="3" t="inlineStr">
        <is>
          <t>Full-time</t>
        </is>
      </c>
      <c r="I45" s="3" t="inlineStr">
        <is>
          <t>Typically requires a degree in STEM and a minimum of 2 years of relevant experience</t>
        </is>
      </c>
      <c r="J45" s="3" t="inlineStr">
        <is>
          <t>In range</t>
        </is>
      </c>
      <c r="K45" s="3" t="inlineStr">
        <is>
          <t>Typically requires a degree in Science, Technology, Engineering, or Mathematics (STEM)</t>
        </is>
      </c>
      <c r="L45" s="3" t="inlineStr">
        <is>
          <t>Bachelor's required</t>
        </is>
      </c>
      <c r="M45" s="2" t="inlineStr"/>
      <c r="N45" s="2" t="inlineStr">
        <is>
          <t>Yes</t>
        </is>
      </c>
      <c r="O45" s="2" t="inlineStr"/>
      <c r="P45" s="3" t="inlineStr">
        <is>
          <t>C, C++, CUDA, Python, MATLAB, Linux, GPU/HPC</t>
        </is>
      </c>
      <c r="Q45" s="3" t="inlineStr">
        <is>
          <t>Not listed</t>
        </is>
      </c>
      <c r="R45" s="3" t="inlineStr">
        <is>
          <t>Active and transferable Secret clearance required prior to start; U.S. citizenship required</t>
        </is>
      </c>
      <c r="S45" s="5" t="inlineStr">
        <is>
          <t>Open posting</t>
        </is>
      </c>
      <c r="T45" s="3" t="inlineStr">
        <is>
          <t>Works with scientists to turn algorithms first written in Python and MATLAB into optimized C, C++ and CUDA code. Includes performance tuning on GPUs and testing in high-performance computing environments.</t>
        </is>
      </c>
      <c r="U45" s="3" t="inlineStr">
        <is>
          <t>Workday (RTX careers)</t>
        </is>
      </c>
      <c r="V45" s="3" t="inlineStr">
        <is>
          <t>2026-09-03</t>
        </is>
      </c>
      <c r="W45" s="6" t="n">
        <v>46316</v>
      </c>
      <c r="X45" s="6" t="n"/>
      <c r="Y45" s="3" t="n"/>
      <c r="Z45" s="3" t="n"/>
      <c r="AA45" s="3" t="n"/>
      <c r="AB45" s="6" t="n"/>
      <c r="AC45" s="3" t="n"/>
    </row>
    <row r="46">
      <c r="A46" s="2" t="n">
        <v>45</v>
      </c>
      <c r="B46" s="2" t="n">
        <v>58</v>
      </c>
      <c r="C46" s="3" t="inlineStr">
        <is>
          <t>New</t>
        </is>
      </c>
      <c r="D46" s="4" t="inlineStr">
        <is>
          <t>Software Security Engineer II</t>
        </is>
      </c>
      <c r="E46" s="3" t="inlineStr">
        <is>
          <t>Raytheon (RTX)</t>
        </is>
      </c>
      <c r="F46" s="3" t="inlineStr">
        <is>
          <t>McKinney, TX</t>
        </is>
      </c>
      <c r="G46" s="3" t="inlineStr">
        <is>
          <t>On-site</t>
        </is>
      </c>
      <c r="H46" s="3" t="inlineStr">
        <is>
          <t>Full-time</t>
        </is>
      </c>
      <c r="I46" s="3" t="inlineStr">
        <is>
          <t>Bachelor's in STEM AND a minimum of 2 years of relevant software experience OR Master's in STEM</t>
        </is>
      </c>
      <c r="J46" s="3" t="inlineStr">
        <is>
          <t>In range</t>
        </is>
      </c>
      <c r="K46" s="3" t="inlineStr">
        <is>
          <t>Typically requires a Bachelor's in STEM from an accredited university (or Master's in STEM)</t>
        </is>
      </c>
      <c r="L46" s="3" t="inlineStr">
        <is>
          <t>Bachelor's required</t>
        </is>
      </c>
      <c r="M46" s="2" t="inlineStr"/>
      <c r="N46" s="2" t="inlineStr">
        <is>
          <t>Yes</t>
        </is>
      </c>
      <c r="O46" s="2" t="inlineStr"/>
      <c r="P46" s="3" t="inlineStr">
        <is>
          <t>C, C++, Python, Perl, embedded real-time software, Agile</t>
        </is>
      </c>
      <c r="Q46" s="3" t="inlineStr">
        <is>
          <t>Not listed</t>
        </is>
      </c>
      <c r="R46" s="3" t="inlineStr">
        <is>
          <t>Interim Secret clearance required prior to start date; U.S. citizenship required</t>
        </is>
      </c>
      <c r="S46" s="5" t="inlineStr">
        <is>
          <t>Open posting</t>
        </is>
      </c>
      <c r="T46" s="3" t="inlineStr">
        <is>
          <t>Applies software security principles to embedded, real-time sensor software from design through testing. Develops applications in several languages and follows software product assurance processes.</t>
        </is>
      </c>
      <c r="U46" s="3" t="inlineStr">
        <is>
          <t>Workday (RTX careers)</t>
        </is>
      </c>
      <c r="V46" s="3" t="inlineStr">
        <is>
          <t>2026-10-06</t>
        </is>
      </c>
      <c r="W46" s="6" t="n">
        <v>46316</v>
      </c>
      <c r="X46" s="6" t="n"/>
      <c r="Y46" s="3" t="n"/>
      <c r="Z46" s="3" t="n"/>
      <c r="AA46" s="3" t="n"/>
      <c r="AB46" s="6" t="n"/>
      <c r="AC46" s="3" t="n"/>
    </row>
    <row r="47">
      <c r="A47" s="2" t="n">
        <v>46</v>
      </c>
      <c r="B47" s="2" t="n">
        <v>58</v>
      </c>
      <c r="C47" s="3" t="inlineStr">
        <is>
          <t>New</t>
        </is>
      </c>
      <c r="D47" s="4" t="inlineStr">
        <is>
          <t>Software Engineer I</t>
        </is>
      </c>
      <c r="E47" s="3" t="inlineStr">
        <is>
          <t>Silicon Labs</t>
        </is>
      </c>
      <c r="F47" s="3" t="inlineStr">
        <is>
          <t>Austin, TX</t>
        </is>
      </c>
      <c r="G47" s="3" t="inlineStr">
        <is>
          <t>Hybrid</t>
        </is>
      </c>
      <c r="H47" s="3" t="inlineStr">
        <is>
          <t>Full-time</t>
        </is>
      </c>
      <c r="I47" s="3" t="inlineStr">
        <is>
          <t>Not specified (entry-level role)</t>
        </is>
      </c>
      <c r="J47" s="3" t="inlineStr">
        <is>
          <t>Not specified</t>
        </is>
      </c>
      <c r="K47" s="3" t="inlineStr">
        <is>
          <t>Master's degree in Electrical Engineering, Computer Engineering, or a related technical field</t>
        </is>
      </c>
      <c r="L47" s="3" t="inlineStr">
        <is>
          <t>Not specified</t>
        </is>
      </c>
      <c r="M47" s="2" t="inlineStr"/>
      <c r="N47" s="2" t="inlineStr">
        <is>
          <t>Yes</t>
        </is>
      </c>
      <c r="O47" s="2" t="inlineStr"/>
      <c r="P47" s="3" t="inlineStr">
        <is>
          <t>Embedded C/C++, Python (plus), RTOS, Git, CI/CD</t>
        </is>
      </c>
      <c r="Q47" s="3" t="inlineStr">
        <is>
          <t>$78,750-$146,250</t>
        </is>
      </c>
      <c r="R47" s="3" t="inlineStr">
        <is>
          <t>None</t>
        </is>
      </c>
      <c r="S47" s="5" t="inlineStr">
        <is>
          <t>Open posting</t>
        </is>
      </c>
      <c r="T47" s="3" t="inlineStr">
        <is>
          <t>An entry-level engineer on the RAIL team writes and debugs C/C++ firmware for Silicon Labs wireless radio chips. The job is hybrid at the downtown Austin headquarters, and a master's degree is listed as a minimum.</t>
        </is>
      </c>
      <c r="U47" s="3" t="inlineStr">
        <is>
          <t>Workday</t>
        </is>
      </c>
      <c r="V47" s="3" t="inlineStr">
        <is>
          <t>2026-10-13</t>
        </is>
      </c>
      <c r="W47" s="6" t="n">
        <v>46316</v>
      </c>
      <c r="X47" s="6" t="n"/>
      <c r="Y47" s="3" t="n"/>
      <c r="Z47" s="3" t="n"/>
      <c r="AA47" s="3" t="n"/>
      <c r="AB47" s="6" t="n"/>
      <c r="AC47" s="3" t="n"/>
    </row>
    <row r="48">
      <c r="A48" s="2" t="n">
        <v>47</v>
      </c>
      <c r="B48" s="2" t="n">
        <v>58</v>
      </c>
      <c r="C48" s="3" t="inlineStr">
        <is>
          <t>New</t>
        </is>
      </c>
      <c r="D48" s="4" t="inlineStr">
        <is>
          <t>Full-Stack Software Developer</t>
        </is>
      </c>
      <c r="E48" s="3" t="inlineStr">
        <is>
          <t>iHeartMedia (RCS)</t>
        </is>
      </c>
      <c r="F48" s="3" t="inlineStr">
        <is>
          <t>San Antonio, TX</t>
        </is>
      </c>
      <c r="G48" s="3" t="inlineStr">
        <is>
          <t>Hybrid</t>
        </is>
      </c>
      <c r="H48" s="3" t="inlineStr">
        <is>
          <t>Full-time</t>
        </is>
      </c>
      <c r="I48" s="3" t="inlineStr">
        <is>
          <t>3+ years of experience in front end, back end, or full stack web development</t>
        </is>
      </c>
      <c r="J48" s="3" t="inlineStr">
        <is>
          <t>In range</t>
        </is>
      </c>
      <c r="K48" s="3" t="inlineStr">
        <is>
          <t>Not specified</t>
        </is>
      </c>
      <c r="L48" s="3" t="inlineStr">
        <is>
          <t>Not specified</t>
        </is>
      </c>
      <c r="M48" s="2" t="inlineStr"/>
      <c r="N48" s="2" t="inlineStr">
        <is>
          <t>Yes</t>
        </is>
      </c>
      <c r="O48" s="2" t="inlineStr"/>
      <c r="P48" s="3" t="inlineStr">
        <is>
          <t>TypeScript, Node.js, React, AWS serverless (Lambda, API Gateway, S3, SQS), CDK, MongoDB, Postgres/MySQL, Python (a plus)</t>
        </is>
      </c>
      <c r="Q48" s="3" t="inlineStr">
        <is>
          <t>Not listed</t>
        </is>
      </c>
      <c r="R48" s="3" t="inlineStr">
        <is>
          <t>None</t>
        </is>
      </c>
      <c r="S48" s="5" t="inlineStr">
        <is>
          <t>Open posting</t>
        </is>
      </c>
      <c r="T48" s="3" t="inlineStr">
        <is>
          <t>Builds React front ends, Node.js and TypeScript back ends, and the AWS serverless infrastructure behind RCS broadcast software products. Hybrid, listed for Austin or San Antonio (Stone Oak).</t>
        </is>
      </c>
      <c r="U48" s="3" t="inlineStr">
        <is>
          <t>Workday (iHeartMedia careers)</t>
        </is>
      </c>
      <c r="V48" s="3" t="inlineStr">
        <is>
          <t>2026-10-05</t>
        </is>
      </c>
      <c r="W48" s="6" t="n">
        <v>46316</v>
      </c>
      <c r="X48" s="6" t="n"/>
      <c r="Y48" s="3" t="n"/>
      <c r="Z48" s="3" t="n"/>
      <c r="AA48" s="3" t="n"/>
      <c r="AB48" s="6" t="n"/>
      <c r="AC48" s="3" t="n"/>
    </row>
    <row r="49">
      <c r="A49" s="2" t="n">
        <v>48</v>
      </c>
      <c r="B49" s="2" t="n">
        <v>57</v>
      </c>
      <c r="C49" s="3" t="inlineStr">
        <is>
          <t>New</t>
        </is>
      </c>
      <c r="D49" s="4" t="inlineStr">
        <is>
          <t>Junior Software Engineer</t>
        </is>
      </c>
      <c r="E49" s="3" t="inlineStr">
        <is>
          <t>Modern Intelligence</t>
        </is>
      </c>
      <c r="F49" s="3" t="inlineStr">
        <is>
          <t>Austin, TX</t>
        </is>
      </c>
      <c r="G49" s="3" t="inlineStr">
        <is>
          <t>On-site</t>
        </is>
      </c>
      <c r="H49" s="3" t="inlineStr">
        <is>
          <t>Not specified</t>
        </is>
      </c>
      <c r="I49" s="3" t="inlineStr">
        <is>
          <t>Not specified (junior level)</t>
        </is>
      </c>
      <c r="J49" s="3" t="inlineStr">
        <is>
          <t>Not specified</t>
        </is>
      </c>
      <c r="K49" s="3" t="inlineStr">
        <is>
          <t>Bachelor's in Computer Science, Computer Engineering, Software Engineering, Mathematics, or comparable, or equivalent demonstrated experience</t>
        </is>
      </c>
      <c r="L49" s="3" t="inlineStr">
        <is>
          <t>Degree or equivalent experience</t>
        </is>
      </c>
      <c r="M49" s="2" t="inlineStr"/>
      <c r="N49" s="2" t="inlineStr">
        <is>
          <t>Yes</t>
        </is>
      </c>
      <c r="O49" s="2" t="inlineStr"/>
      <c r="P49" s="3" t="inlineStr">
        <is>
          <t>C++20, Python, Linux, Git</t>
        </is>
      </c>
      <c r="Q49" s="3" t="inlineStr">
        <is>
          <t>$100K-$120K</t>
        </is>
      </c>
      <c r="R49" s="3" t="inlineStr">
        <is>
          <t>None required; prior defense experience or clearance is a plus; U.S. person status required</t>
        </is>
      </c>
      <c r="S49" s="5" t="inlineStr">
        <is>
          <t>Open posting</t>
        </is>
      </c>
      <c r="T49" s="3" t="inlineStr">
        <is>
          <t>An entry-level engineer builds C++ and Python software for an autonomy platform that helps unmanned vehicles detect and track targets. The job is in office and includes travel for field deployments.</t>
        </is>
      </c>
      <c r="U49" s="3" t="inlineStr">
        <is>
          <t>Built In Austin</t>
        </is>
      </c>
      <c r="V49" s="3" t="inlineStr">
        <is>
          <t>About one month ago</t>
        </is>
      </c>
      <c r="W49" s="6" t="n">
        <v>46316</v>
      </c>
      <c r="X49" s="6" t="n"/>
      <c r="Y49" s="3" t="n"/>
      <c r="Z49" s="3" t="n"/>
      <c r="AA49" s="3" t="n"/>
      <c r="AB49" s="6" t="n"/>
      <c r="AC49" s="3" t="n"/>
    </row>
    <row r="50">
      <c r="A50" s="2" t="n">
        <v>49</v>
      </c>
      <c r="B50" s="2" t="n">
        <v>57</v>
      </c>
      <c r="C50" s="3" t="inlineStr">
        <is>
          <t>New</t>
        </is>
      </c>
      <c r="D50" s="4" t="inlineStr">
        <is>
          <t>Associate Software Engineer - Full Stack</t>
        </is>
      </c>
      <c r="E50" s="3" t="inlineStr">
        <is>
          <t>Ontic</t>
        </is>
      </c>
      <c r="F50" s="3" t="inlineStr">
        <is>
          <t>Austin, TX</t>
        </is>
      </c>
      <c r="G50" s="3" t="inlineStr">
        <is>
          <t>Hybrid</t>
        </is>
      </c>
      <c r="H50" s="3" t="inlineStr">
        <is>
          <t>Full-time</t>
        </is>
      </c>
      <c r="I50" s="3" t="inlineStr">
        <is>
          <t>0-2 years of professional, internship, or project experience in software engineering</t>
        </is>
      </c>
      <c r="J50" s="3" t="inlineStr">
        <is>
          <t>In range</t>
        </is>
      </c>
      <c r="K50" s="3" t="inlineStr">
        <is>
          <t>Bachelor's degree in Computer Science, Engineering, or a related field (or equivalent practical experience)</t>
        </is>
      </c>
      <c r="L50" s="3" t="inlineStr">
        <is>
          <t>Degree or equivalent experience</t>
        </is>
      </c>
      <c r="M50" s="2" t="inlineStr"/>
      <c r="N50" s="2" t="inlineStr"/>
      <c r="O50" s="2" t="inlineStr"/>
      <c r="P50" s="3" t="inlineStr">
        <is>
          <t>Java, TypeScript, JavaScript, React, AWS/Azure/GCP</t>
        </is>
      </c>
      <c r="Q50" s="3" t="inlineStr">
        <is>
          <t>$80K-$100K plus bonus</t>
        </is>
      </c>
      <c r="R50" s="3" t="inlineStr">
        <is>
          <t>None (U.S. citizens noted)</t>
        </is>
      </c>
      <c r="S50" s="5" t="inlineStr">
        <is>
          <t>Open posting</t>
        </is>
      </c>
      <c r="T50" s="3" t="inlineStr">
        <is>
          <t>Ontic makes threat management software for corporate and government security teams. This early-career full-stack role works from the Austin office three days a week.</t>
        </is>
      </c>
      <c r="U50" s="3" t="inlineStr">
        <is>
          <t>Ashby</t>
        </is>
      </c>
      <c r="V50" s="3" t="inlineStr">
        <is>
          <t>2026-08-27</t>
        </is>
      </c>
      <c r="W50" s="6" t="n">
        <v>46316</v>
      </c>
      <c r="X50" s="6" t="n"/>
      <c r="Y50" s="3" t="n"/>
      <c r="Z50" s="3" t="n"/>
      <c r="AA50" s="3" t="n"/>
      <c r="AB50" s="6" t="n"/>
      <c r="AC50" s="3" t="n"/>
    </row>
    <row r="51">
      <c r="A51" s="2" t="n">
        <v>50</v>
      </c>
      <c r="B51" s="2" t="n">
        <v>57</v>
      </c>
      <c r="C51" s="3" t="inlineStr">
        <is>
          <t>New</t>
        </is>
      </c>
      <c r="D51" s="4" t="inlineStr">
        <is>
          <t>Software Engineer 1 - Full-stack, Generative AI, Cloud</t>
        </is>
      </c>
      <c r="E51" s="3" t="inlineStr">
        <is>
          <t>U.S. Bank</t>
        </is>
      </c>
      <c r="F51" s="3" t="inlineStr">
        <is>
          <t>Irving, TX (also Hopkins MN, Charlotte NC, Brookfield WI)</t>
        </is>
      </c>
      <c r="G51" s="3" t="inlineStr">
        <is>
          <t>Hybrid</t>
        </is>
      </c>
      <c r="H51" s="3" t="inlineStr">
        <is>
          <t>Full-time</t>
        </is>
      </c>
      <c r="I51" s="3" t="inlineStr">
        <is>
          <t>Two to three years of relevant experience</t>
        </is>
      </c>
      <c r="J51" s="3" t="inlineStr">
        <is>
          <t>In range</t>
        </is>
      </c>
      <c r="K51" s="3" t="inlineStr">
        <is>
          <t>Bachelor's degree, or equivalent work experience</t>
        </is>
      </c>
      <c r="L51" s="3" t="inlineStr">
        <is>
          <t>Degree or equivalent experience</t>
        </is>
      </c>
      <c r="M51" s="2" t="inlineStr"/>
      <c r="N51" s="2" t="inlineStr"/>
      <c r="O51" s="2" t="inlineStr"/>
      <c r="P51" s="3" t="inlineStr">
        <is>
          <t>Java, React, TypeScript, AWS, Azure, GCP, Kubernetes, SQL, generative AI</t>
        </is>
      </c>
      <c r="Q51" s="3" t="inlineStr">
        <is>
          <t>$92,820 - $109,200</t>
        </is>
      </c>
      <c r="R51" s="3" t="inlineStr">
        <is>
          <t>None (not eligible for visa sponsorship)</t>
        </is>
      </c>
      <c r="S51" s="5" t="inlineStr">
        <is>
          <t>Open posting</t>
        </is>
      </c>
      <c r="T51" s="3" t="inlineStr">
        <is>
          <t>Full-stack engineer building generative AI and cloud applications. Requires working from a U.S. Bank location three or more days per week.</t>
        </is>
      </c>
      <c r="U51" s="3" t="inlineStr">
        <is>
          <t>Workday</t>
        </is>
      </c>
      <c r="V51" s="3" t="inlineStr">
        <is>
          <t>2026-10-15</t>
        </is>
      </c>
      <c r="W51" s="6" t="n">
        <v>46316</v>
      </c>
      <c r="X51" s="6" t="n"/>
      <c r="Y51" s="3" t="n"/>
      <c r="Z51" s="3" t="n"/>
      <c r="AA51" s="3" t="n"/>
      <c r="AB51" s="6" t="n"/>
      <c r="AC51" s="3" t="n"/>
    </row>
  </sheetData>
  <autoFilter ref="A1:AC51"/>
  <conditionalFormatting sqref="A2:AC1000">
    <cfRule type="expression" priority="1" dxfId="0">
      <formula>$C2="Interested"</formula>
    </cfRule>
    <cfRule type="expression" priority="2" dxfId="1">
      <formula>$C2="Applied"</formula>
    </cfRule>
    <cfRule type="expression" priority="3" dxfId="2">
      <formula>$C2="Recruiter Screen"</formula>
    </cfRule>
    <cfRule type="expression" priority="4" dxfId="3">
      <formula>$C2="Interviewing"</formula>
    </cfRule>
    <cfRule type="expression" priority="5" dxfId="4">
      <formula>$C2="Offer"</formula>
    </cfRule>
    <cfRule type="expression" priority="6" dxfId="5">
      <formula>$C2="Rejected"</formula>
    </cfRule>
    <cfRule type="expression" priority="7" dxfId="5">
      <formula>$C2="Withdrawn"</formula>
    </cfRule>
    <cfRule type="expression" priority="8" dxfId="5">
      <formula>$C2="Posting Closed"</formula>
    </cfRule>
  </conditionalFormatting>
  <conditionalFormatting sqref="AB2:AB1000">
    <cfRule type="expression" priority="9" dxfId="6">
      <formula>AND($AB2&lt;&gt;"",$AB2&lt;=TODAY(),NOT(OR($C2="Rejected",$C2="Withdrawn",$C2="Posting Closed",$C2="Offer")))</formula>
    </cfRule>
  </conditionalFormatting>
  <dataValidations count="4">
    <dataValidation sqref="C2:C1000" showDropDown="0" showInputMessage="0" showErrorMessage="0" allowBlank="1" type="list">
      <formula1>"New,Interested,Applied,Recruiter Screen,Interviewing,Offer,Rejected,Withdrawn,Posting Closed"</formula1>
    </dataValidation>
    <dataValidation sqref="X2:X1000" showDropDown="0" showInputMessage="0" showErrorMessage="0" allowBlank="1" error="Enter a date, like 10/21/2026." type="date" operator="greaterThan">
      <formula1>DATE(2020,1,1)</formula1>
    </dataValidation>
    <dataValidation sqref="AB2:AB1000" showDropDown="0" showInputMessage="0" showErrorMessage="0" allowBlank="1" error="Enter a date, like 10/21/2026." type="date" operator="greaterThan">
      <formula1>DATE(2020,1,1)</formula1>
    </dataValidation>
    <dataValidation sqref="W2:W1000" showDropDown="0" showInputMessage="0" showErrorMessage="0" allowBlank="1" error="Enter a date, like 10/21/2026." type="date" operator="greaterThan">
      <formula1>DATE(2020,1,1)</formula1>
    </dataValidation>
  </dataValidations>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0" customWidth="1" min="2" max="2"/>
  </cols>
  <sheetData>
    <row r="1">
      <c r="A1" s="7" t="inlineStr">
        <is>
          <t>Application Pipeline</t>
        </is>
      </c>
    </row>
    <row r="2">
      <c r="A2" t="inlineStr">
        <is>
          <t>Counts update on their own as you change the Status column on the Jobs tab.</t>
        </is>
      </c>
    </row>
    <row r="4">
      <c r="A4" s="8" t="inlineStr">
        <is>
          <t>Status</t>
        </is>
      </c>
      <c r="B4" s="8" t="inlineStr">
        <is>
          <t>Jobs</t>
        </is>
      </c>
    </row>
    <row r="5">
      <c r="A5" t="inlineStr">
        <is>
          <t>New</t>
        </is>
      </c>
      <c r="B5">
        <f>COUNTIF(Jobs!$C$2:$C$1000,A5)</f>
        <v/>
      </c>
    </row>
    <row r="6">
      <c r="A6" t="inlineStr">
        <is>
          <t>Interested</t>
        </is>
      </c>
      <c r="B6">
        <f>COUNTIF(Jobs!$C$2:$C$1000,A6)</f>
        <v/>
      </c>
    </row>
    <row r="7">
      <c r="A7" t="inlineStr">
        <is>
          <t>Applied</t>
        </is>
      </c>
      <c r="B7">
        <f>COUNTIF(Jobs!$C$2:$C$1000,A7)</f>
        <v/>
      </c>
    </row>
    <row r="8">
      <c r="A8" t="inlineStr">
        <is>
          <t>Recruiter Screen</t>
        </is>
      </c>
      <c r="B8">
        <f>COUNTIF(Jobs!$C$2:$C$1000,A8)</f>
        <v/>
      </c>
    </row>
    <row r="9">
      <c r="A9" t="inlineStr">
        <is>
          <t>Interviewing</t>
        </is>
      </c>
      <c r="B9">
        <f>COUNTIF(Jobs!$C$2:$C$1000,A9)</f>
        <v/>
      </c>
    </row>
    <row r="10">
      <c r="A10" t="inlineStr">
        <is>
          <t>Offer</t>
        </is>
      </c>
      <c r="B10">
        <f>COUNTIF(Jobs!$C$2:$C$1000,A10)</f>
        <v/>
      </c>
    </row>
    <row r="11">
      <c r="A11" t="inlineStr">
        <is>
          <t>Rejected</t>
        </is>
      </c>
      <c r="B11">
        <f>COUNTIF(Jobs!$C$2:$C$1000,A11)</f>
        <v/>
      </c>
    </row>
    <row r="12">
      <c r="A12" t="inlineStr">
        <is>
          <t>Withdrawn</t>
        </is>
      </c>
      <c r="B12">
        <f>COUNTIF(Jobs!$C$2:$C$1000,A12)</f>
        <v/>
      </c>
    </row>
    <row r="13">
      <c r="A13" t="inlineStr">
        <is>
          <t>Posting Closed</t>
        </is>
      </c>
      <c r="B13">
        <f>COUNTIF(Jobs!$C$2:$C$1000,A13)</f>
        <v/>
      </c>
    </row>
    <row r="14">
      <c r="A14" s="9" t="inlineStr">
        <is>
          <t>Total</t>
        </is>
      </c>
      <c r="B14" s="9">
        <f>SUM(B5:B13)</f>
        <v/>
      </c>
    </row>
    <row r="16">
      <c r="A16" s="9" t="inlineStr">
        <is>
          <t>Follow-ups due today or overdue</t>
        </is>
      </c>
      <c r="B16">
        <f>SUMPRODUCT((Jobs!$AB$2:$AB$1000&lt;&gt;"")*(Jobs!$AB$2:$AB$1000&lt;=TODAY())*(Jobs!$C$2:$C$1000&lt;&gt;"Rejected")*(Jobs!$C$2:$C$1000&lt;&gt;"Withdrawn")*(Jobs!$C$2:$C$1000&lt;&gt;"Posting Closed")*(Jobs!$C$2:$C$1000&lt;&gt;"Offer"))</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44" customWidth="1" min="3" max="3"/>
    <col width="8" customWidth="1" min="4" max="4"/>
    <col width="16" customWidth="1" min="5" max="5"/>
    <col width="16" customWidth="1" min="6" max="6"/>
  </cols>
  <sheetData>
    <row r="1">
      <c r="A1" s="8" t="inlineStr">
        <is>
          <t>Scan Date</t>
        </is>
      </c>
      <c r="B1" s="8" t="inlineStr">
        <is>
          <t>Search</t>
        </is>
      </c>
      <c r="C1" s="8" t="inlineStr">
        <is>
          <t>Locations</t>
        </is>
      </c>
      <c r="D1" s="8" t="inlineStr">
        <is>
          <t>Live Jobs Found</t>
        </is>
      </c>
      <c r="E1" s="8" t="inlineStr">
        <is>
          <t>Not in Top 50</t>
        </is>
      </c>
      <c r="F1" s="8" t="inlineStr">
        <is>
          <t>Added to Tracker</t>
        </is>
      </c>
    </row>
    <row r="2">
      <c r="A2" s="10" t="n">
        <v>46316</v>
      </c>
      <c r="B2" s="11" t="inlineStr">
        <is>
          <t>Software Engineer I and II, 0 to 3 years, full-time or contract, no internships or apprenticeships; prefers C#, Python, Go; no degree preferred, bachelor's OK</t>
        </is>
      </c>
      <c r="C2" s="11" t="inlineStr">
        <is>
          <t>Austin, Dallas, Plano, San Antonio, Remote (US)</t>
        </is>
      </c>
      <c r="D2" s="11" t="n">
        <v>99</v>
      </c>
      <c r="E2" s="11" t="n">
        <v>49</v>
      </c>
      <c r="F2" s="11" t="n">
        <v>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2" t="inlineStr">
        <is>
          <t>How to use this tracker</t>
        </is>
      </c>
    </row>
    <row r="2">
      <c r="A2" s="13" t="inlineStr"/>
    </row>
    <row r="3">
      <c r="A3" s="14" t="inlineStr">
        <is>
          <t>Jobs tab</t>
        </is>
      </c>
    </row>
    <row r="4">
      <c r="A4" s="13" t="inlineStr">
        <is>
          <t>Each row is one opening. Rank 1 is the closest match to what you asked for.</t>
        </is>
      </c>
    </row>
    <row r="5">
      <c r="A5" s="13" t="inlineStr">
        <is>
          <t>Fit Score (out of 100) adds up: C#, Python and Go in the posting; 3 years or less of experience; no degree required; a level I or II title; and a listed salary.</t>
        </is>
      </c>
    </row>
    <row r="6">
      <c r="A6" s="13" t="inlineStr">
        <is>
          <t>Click Open posting in the Posting Link column to go to the job.</t>
        </is>
      </c>
    </row>
    <row r="7">
      <c r="A7" s="13" t="inlineStr">
        <is>
          <t>Pick a Status from the drop-down as you go. The row changes color so you can see where each job stands.</t>
        </is>
      </c>
    </row>
    <row r="8">
      <c r="A8" s="13" t="inlineStr">
        <is>
          <t>Fill in Date Applied, Resume Version, Contact, Next Step and Follow-up Date as you work each job.</t>
        </is>
      </c>
    </row>
    <row r="9">
      <c r="A9" s="13" t="inlineStr">
        <is>
          <t>A Follow-up Date turns red when it is today or past due, until the job is closed out.</t>
        </is>
      </c>
    </row>
    <row r="10">
      <c r="A10" s="13" t="inlineStr">
        <is>
          <t>Use the filter arrows in the top row to sort or show only certain jobs.</t>
        </is>
      </c>
    </row>
    <row r="11">
      <c r="A11" s="13" t="inlineStr"/>
    </row>
    <row r="12">
      <c r="A12" s="14" t="inlineStr">
        <is>
          <t>Pipeline tab</t>
        </is>
      </c>
    </row>
    <row r="13">
      <c r="A13" s="13" t="inlineStr">
        <is>
          <t>Counts how many jobs sit at each status and how many follow-ups are due. Nothing to fill in.</t>
        </is>
      </c>
    </row>
    <row r="14">
      <c r="A14" s="13" t="inlineStr"/>
    </row>
    <row r="15">
      <c r="A15" s="14" t="inlineStr">
        <is>
          <t>Adding next week's scan</t>
        </is>
      </c>
    </row>
    <row r="16">
      <c r="A16" s="13" t="inlineStr">
        <is>
          <t>Run the weekly job scan again and ask for the results to be added to this file.</t>
        </is>
      </c>
    </row>
    <row r="17">
      <c r="A17" s="13" t="inlineStr">
        <is>
          <t>New jobs go at the bottom of the Jobs tab with that day's Scan Date. A job already in the tracker (same link, or same company and title) is skipped so your notes stay put.</t>
        </is>
      </c>
    </row>
    <row r="18">
      <c r="A18" s="13" t="inlineStr">
        <is>
          <t>Add one line to the Scan Log tab for each scan.</t>
        </is>
      </c>
    </row>
    <row r="19">
      <c r="A19" s="13" t="inlineStr">
        <is>
          <t>When a posting stops working, set its Status to Posting Closed instead of deleting the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2026-10-20T19:20:06Z</dcterms:created>
  <dcterms:modified xsi:type="dcterms:W3CDTF">2026-10-20T19:20:06Z</dcterms:modified>
</cp:coreProperties>
</file>